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2" sheetId="3" r:id="rId1"/>
    <sheet name="excel_day1_practice_datase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<sst xmlns="http://schemas.openxmlformats.org/spreadsheetml/2006/main" count="6023" uniqueCount="34">
  <si>
    <t>Product</t>
  </si>
  <si>
    <t>Sum of Sales</t>
  </si>
  <si>
    <t>Printer</t>
  </si>
  <si>
    <t>Laptop</t>
  </si>
  <si>
    <t>Monitor</t>
  </si>
  <si>
    <t>Tablet</t>
  </si>
  <si>
    <t>Headphones</t>
  </si>
  <si>
    <t>Keyboard</t>
  </si>
  <si>
    <t>Mouse</t>
  </si>
  <si>
    <t>Grand Total</t>
  </si>
  <si>
    <t>Order_Date</t>
  </si>
  <si>
    <t>Region</t>
  </si>
  <si>
    <t>Salesperson</t>
  </si>
  <si>
    <t>Quantity</t>
  </si>
  <si>
    <t>Price_per_Unit</t>
  </si>
  <si>
    <t>Sales</t>
  </si>
  <si>
    <t>Target</t>
  </si>
  <si>
    <t>Total Sales</t>
  </si>
  <si>
    <t>Avarage</t>
  </si>
  <si>
    <t>Total orders count</t>
  </si>
  <si>
    <t>achivement</t>
  </si>
  <si>
    <t>average</t>
  </si>
  <si>
    <t>North</t>
  </si>
  <si>
    <t>Arjun</t>
  </si>
  <si>
    <t>East</t>
  </si>
  <si>
    <t>Rohit</t>
  </si>
  <si>
    <t>West</t>
  </si>
  <si>
    <t>Sneha</t>
  </si>
  <si>
    <t>South</t>
  </si>
  <si>
    <t>Priya</t>
  </si>
  <si>
    <t>Karan</t>
  </si>
  <si>
    <t>Neha</t>
  </si>
  <si>
    <t>Amit</t>
  </si>
  <si>
    <t>Vikram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</si>
</sst>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>
      <alignment vertical="center"/>
    </xf>
    <xf numFmtId="9" fontId="0" fillId="0" borderId="1" xfId="3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58" formatCode="m/d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[excel_day1_practice_dataset.csv]Sheet2!PivotTable3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200" b="1"/>
              <a:t>Product Sales Analysis</a:t>
            </a:r>
            <a:endParaRPr sz="2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Printer</c:v>
                </c:pt>
                <c:pt idx="1">
                  <c:v>Laptop</c:v>
                </c:pt>
                <c:pt idx="2">
                  <c:v>Monitor</c:v>
                </c:pt>
                <c:pt idx="3">
                  <c:v>Tablet</c:v>
                </c:pt>
                <c:pt idx="4">
                  <c:v>Headphones</c:v>
                </c:pt>
                <c:pt idx="5">
                  <c:v>Keyboard</c:v>
                </c:pt>
                <c:pt idx="6">
                  <c:v>Mouse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44748115</c:v>
                </c:pt>
                <c:pt idx="1">
                  <c:v>43283988</c:v>
                </c:pt>
                <c:pt idx="2">
                  <c:v>42565272</c:v>
                </c:pt>
                <c:pt idx="3">
                  <c:v>40091807</c:v>
                </c:pt>
                <c:pt idx="4">
                  <c:v>39446616</c:v>
                </c:pt>
                <c:pt idx="5">
                  <c:v>36961583</c:v>
                </c:pt>
                <c:pt idx="6">
                  <c:v>34112611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8"/>
        <c:axId val="805747105"/>
        <c:axId val="702206407"/>
      </c:barChart>
      <c:catAx>
        <c:axId val="8057471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2206407"/>
        <c:crosses val="autoZero"/>
        <c:auto val="1"/>
        <c:lblAlgn val="ctr"/>
        <c:lblOffset val="100"/>
        <c:noMultiLvlLbl val="0"/>
      </c:catAx>
      <c:valAx>
        <c:axId val="702206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57471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535940</xdr:colOff>
      <xdr:row>2</xdr:row>
      <xdr:rowOff>137160</xdr:rowOff>
    </xdr:from>
    <xdr:to>
      <xdr:col>15</xdr:col>
      <xdr:colOff>195580</xdr:colOff>
      <xdr:row>26</xdr:row>
      <xdr:rowOff>45085</xdr:rowOff>
    </xdr:to>
    <xdr:graphicFrame>
      <xdr:nvGraphicFramePr>
        <xdr:cNvPr id="2" name="Chart 1"/>
        <xdr:cNvGraphicFramePr/>
      </xdr:nvGraphicFramePr>
      <xdr:xfrm>
        <a:off x="3705860" y="502920"/>
        <a:ext cx="6365240" cy="4297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0.4977777778" refreshedBy="PC-ASUS" recordCount="2000">
  <cacheSource type="worksheet">
    <worksheetSource name="Table1"/>
  </cacheSource>
  <cacheFields count="13">
    <cacheField name="Order_Date" numFmtId="58">
      <sharedItems containsSemiMixedTypes="0" containsString="0" containsNonDate="0" containsDate="1" minDate="2025-01-01T00:00:00" maxDate="2025-06-30T00:00:00" count="181">
        <d v="2025-04-25T00:00:00"/>
        <d v="2025-03-03T00:00:00"/>
        <d v="2025-06-12T00:00:00"/>
        <d v="2025-02-22T00:00:00"/>
        <d v="2025-01-13T00:00:00"/>
        <d v="2025-03-09T00:00:00"/>
        <d v="2025-05-07T00:00:00"/>
        <d v="2025-01-29T00:00:00"/>
        <d v="2025-05-01T00:00:00"/>
        <d v="2025-05-20T00:00:00"/>
        <d v="2025-06-28T00:00:00"/>
        <d v="2025-06-17T00:00:00"/>
        <d v="2025-01-11T00:00:00"/>
        <d v="2025-06-08T00:00:00"/>
        <d v="2025-06-07T00:00:00"/>
        <d v="2025-05-22T00:00:00"/>
        <d v="2025-04-18T00:00:00"/>
        <d v="2025-01-31T00:00:00"/>
        <d v="2025-04-30T00:00:00"/>
        <d v="2025-05-25T00:00:00"/>
        <d v="2025-02-16T00:00:00"/>
        <d v="2025-03-31T00:00:00"/>
        <d v="2025-06-23T00:00:00"/>
        <d v="2025-06-06T00:00:00"/>
        <d v="2025-02-04T00:00:00"/>
        <d v="2025-01-05T00:00:00"/>
        <d v="2025-04-09T00:00:00"/>
        <d v="2025-05-21T00:00:00"/>
        <d v="2025-05-12T00:00:00"/>
        <d v="2025-03-01T00:00:00"/>
        <d v="2025-04-22T00:00:00"/>
        <d v="2025-04-28T00:00:00"/>
        <d v="2025-06-19T00:00:00"/>
        <d v="2025-02-21T00:00:00"/>
        <d v="2025-05-02T00:00:00"/>
        <d v="2025-06-29T00:00:00"/>
        <d v="2025-02-27T00:00:00"/>
        <d v="2025-03-24T00:00:00"/>
        <d v="2025-05-29T00:00:00"/>
        <d v="2025-06-18T00:00:00"/>
        <d v="2025-01-26T00:00:00"/>
        <d v="2025-04-06T00:00:00"/>
        <d v="2025-04-11T00:00:00"/>
        <d v="2025-03-13T00:00:00"/>
        <d v="2025-03-02T00:00:00"/>
        <d v="2025-06-09T00:00:00"/>
        <d v="2025-01-10T00:00:00"/>
        <d v="2025-02-13T00:00:00"/>
        <d v="2025-06-24T00:00:00"/>
        <d v="2025-01-07T00:00:00"/>
        <d v="2025-02-19T00:00:00"/>
        <d v="2025-01-12T00:00:00"/>
        <d v="2025-01-19T00:00:00"/>
        <d v="2025-03-17T00:00:00"/>
        <d v="2025-05-18T00:00:00"/>
        <d v="2025-04-14T00:00:00"/>
        <d v="2025-04-03T00:00:00"/>
        <d v="2025-02-03T00:00:00"/>
        <d v="2025-02-01T00:00:00"/>
        <d v="2025-01-21T00:00:00"/>
        <d v="2025-06-20T00:00:00"/>
        <d v="2025-02-17T00:00:00"/>
        <d v="2025-03-29T00:00:00"/>
        <d v="2025-06-21T00:00:00"/>
        <d v="2025-05-05T00:00:00"/>
        <d v="2025-04-27T00:00:00"/>
        <d v="2025-02-28T00:00:00"/>
        <d v="2025-01-14T00:00:00"/>
        <d v="2025-04-23T00:00:00"/>
        <d v="2025-06-13T00:00:00"/>
        <d v="2025-05-09T00:00:00"/>
        <d v="2025-02-24T00:00:00"/>
        <d v="2025-02-23T00:00:00"/>
        <d v="2025-05-14T00:00:00"/>
        <d v="2025-01-03T00:00:00"/>
        <d v="2025-01-06T00:00:00"/>
        <d v="2025-05-31T00:00:00"/>
        <d v="2025-04-10T00:00:00"/>
        <d v="2025-05-30T00:00:00"/>
        <d v="2025-03-28T00:00:00"/>
        <d v="2025-04-05T00:00:00"/>
        <d v="2025-01-28T00:00:00"/>
        <d v="2025-03-12T00:00:00"/>
        <d v="2025-06-26T00:00:00"/>
        <d v="2025-05-27T00:00:00"/>
        <d v="2025-05-11T00:00:00"/>
        <d v="2025-02-20T00:00:00"/>
        <d v="2025-02-18T00:00:00"/>
        <d v="2025-05-17T00:00:00"/>
        <d v="2025-06-22T00:00:00"/>
        <d v="2025-01-16T00:00:00"/>
        <d v="2025-03-07T00:00:00"/>
        <d v="2025-03-10T00:00:00"/>
        <d v="2025-03-30T00:00:00"/>
        <d v="2025-03-14T00:00:00"/>
        <d v="2025-04-13T00:00:00"/>
        <d v="2025-01-23T00:00:00"/>
        <d v="2025-02-07T00:00:00"/>
        <d v="2025-04-19T00:00:00"/>
        <d v="2025-04-15T00:00:00"/>
        <d v="2025-02-15T00:00:00"/>
        <d v="2025-01-20T00:00:00"/>
        <d v="2025-02-11T00:00:00"/>
        <d v="2025-04-29T00:00:00"/>
        <d v="2025-01-09T00:00:00"/>
        <d v="2025-06-01T00:00:00"/>
        <d v="2025-04-04T00:00:00"/>
        <d v="2025-03-25T00:00:00"/>
        <d v="2025-02-06T00:00:00"/>
        <d v="2025-01-02T00:00:00"/>
        <d v="2025-06-04T00:00:00"/>
        <d v="2025-06-30T00:00:00"/>
        <d v="2025-05-19T00:00:00"/>
        <d v="2025-03-11T00:00:00"/>
        <d v="2025-06-10T00:00:00"/>
        <d v="2025-05-10T00:00:00"/>
        <d v="2025-04-01T00:00:00"/>
        <d v="2025-04-08T00:00:00"/>
        <d v="2025-04-12T00:00:00"/>
        <d v="2025-01-24T00:00:00"/>
        <d v="2025-05-26T00:00:00"/>
        <d v="2025-04-21T00:00:00"/>
        <d v="2025-02-08T00:00:00"/>
        <d v="2025-03-26T00:00:00"/>
        <d v="2025-01-08T00:00:00"/>
        <d v="2025-02-12T00:00:00"/>
        <d v="2025-02-05T00:00:00"/>
        <d v="2025-06-16T00:00:00"/>
        <d v="2025-05-23T00:00:00"/>
        <d v="2025-02-14T00:00:00"/>
        <d v="2025-04-24T00:00:00"/>
        <d v="2025-05-04T00:00:00"/>
        <d v="2025-03-06T00:00:00"/>
        <d v="2025-03-27T00:00:00"/>
        <d v="2025-01-01T00:00:00"/>
        <d v="2025-03-23T00:00:00"/>
        <d v="2025-06-03T00:00:00"/>
        <d v="2025-04-26T00:00:00"/>
        <d v="2025-03-20T00:00:00"/>
        <d v="2025-06-11T00:00:00"/>
        <d v="2025-05-16T00:00:00"/>
        <d v="2025-01-15T00:00:00"/>
        <d v="2025-05-08T00:00:00"/>
        <d v="2025-03-08T00:00:00"/>
        <d v="2025-01-17T00:00:00"/>
        <d v="2025-06-27T00:00:00"/>
        <d v="2025-03-16T00:00:00"/>
        <d v="2025-04-02T00:00:00"/>
        <d v="2025-04-16T00:00:00"/>
        <d v="2025-02-10T00:00:00"/>
        <d v="2025-06-05T00:00:00"/>
        <d v="2025-03-22T00:00:00"/>
        <d v="2025-03-04T00:00:00"/>
        <d v="2025-05-28T00:00:00"/>
        <d v="2025-02-25T00:00:00"/>
        <d v="2025-02-09T00:00:00"/>
        <d v="2025-04-17T00:00:00"/>
        <d v="2025-05-06T00:00:00"/>
        <d v="2025-04-07T00:00:00"/>
        <d v="2025-06-02T00:00:00"/>
        <d v="2025-03-05T00:00:00"/>
        <d v="2025-01-30T00:00:00"/>
        <d v="2025-03-15T00:00:00"/>
        <d v="2025-02-26T00:00:00"/>
        <d v="2025-03-19T00:00:00"/>
        <d v="2025-01-18T00:00:00"/>
        <d v="2025-06-25T00:00:00"/>
        <d v="2025-01-22T00:00:00"/>
        <d v="2025-01-25T00:00:00"/>
        <d v="2025-06-15T00:00:00"/>
        <d v="2025-05-24T00:00:00"/>
        <d v="2025-03-18T00:00:00"/>
        <d v="2025-06-14T00:00:00"/>
        <d v="2025-01-04T00:00:00"/>
        <d v="2025-01-27T00:00:00"/>
        <d v="2025-02-02T00:00:00"/>
        <d v="2025-04-20T00:00:00"/>
        <d v="2025-03-21T00:00:00"/>
        <d v="2025-05-03T00:00:00"/>
        <d v="2025-05-13T00:00:00"/>
        <d v="2025-05-15T00:00:00"/>
      </sharedItems>
    </cacheField>
    <cacheField name="Product" numFmtId="0">
      <sharedItems count="7">
        <s v="Tablet"/>
        <s v="Headphones"/>
        <s v="Printer"/>
        <s v="Monitor"/>
        <s v="Keyboard"/>
        <s v="Laptop"/>
        <s v="Mouse"/>
      </sharedItems>
    </cacheField>
    <cacheField name="Region" numFmtId="0">
      <sharedItems count="4">
        <s v="North"/>
        <s v="East"/>
        <s v="West"/>
        <s v="South"/>
      </sharedItems>
    </cacheField>
    <cacheField name="Salesperson" numFmtId="0">
      <sharedItems count="8">
        <s v="Arjun"/>
        <s v="Rohit"/>
        <s v="Sneha"/>
        <s v="Priya"/>
        <s v="Karan"/>
        <s v="Neha"/>
        <s v="Amit"/>
        <s v="Vikram"/>
      </sharedItems>
    </cacheField>
    <cacheField name="Quantity" numFmtId="0">
      <sharedItems containsSemiMixedTypes="0" containsString="0" containsNumber="1" containsInteger="1" minValue="1" maxValue="10" count="10">
        <n v="6"/>
        <n v="2"/>
        <n v="4"/>
        <n v="9"/>
        <n v="5"/>
        <n v="7"/>
        <n v="8"/>
        <n v="10"/>
        <n v="1"/>
        <n v="3"/>
      </sharedItems>
    </cacheField>
    <cacheField name="Price_per_Unit" numFmtId="0">
      <sharedItems containsSemiMixedTypes="0" containsString="0" containsNumber="1" containsInteger="1" minValue="519" maxValue="49987" count="1956">
        <n v="11171"/>
        <n v="14317"/>
        <n v="43336"/>
        <n v="8120"/>
        <n v="48261"/>
        <n v="13172"/>
        <n v="16397"/>
        <n v="28986"/>
        <n v="17759"/>
        <n v="40930"/>
        <n v="41296"/>
        <n v="24825"/>
        <n v="25333"/>
        <n v="6872"/>
        <n v="49373"/>
        <n v="18153"/>
        <n v="16873"/>
        <n v="46493"/>
        <n v="904"/>
        <n v="7716"/>
        <n v="29957"/>
        <n v="44950"/>
        <n v="36815"/>
        <n v="38516"/>
        <n v="10514"/>
        <n v="44327"/>
        <n v="22057"/>
        <n v="14853"/>
        <n v="23501"/>
        <n v="18014"/>
        <n v="34650"/>
        <n v="13311"/>
        <n v="47352"/>
        <n v="21065"/>
        <n v="33132"/>
        <n v="1636"/>
        <n v="36357"/>
        <n v="36400"/>
        <n v="18761"/>
        <n v="19247"/>
        <n v="35378"/>
        <n v="40883"/>
        <n v="29125"/>
        <n v="30377"/>
        <n v="49525"/>
        <n v="27799"/>
        <n v="28777"/>
        <n v="1734"/>
        <n v="45389"/>
        <n v="39919"/>
        <n v="33146"/>
        <n v="2425"/>
        <n v="29091"/>
        <n v="36798"/>
        <n v="39436"/>
        <n v="3719"/>
        <n v="29203"/>
        <n v="47338"/>
        <n v="30803"/>
        <n v="13686"/>
        <n v="23112"/>
        <n v="49206"/>
        <n v="20053"/>
        <n v="47607"/>
        <n v="11438"/>
        <n v="28889"/>
        <n v="9317"/>
        <n v="2558"/>
        <n v="29689"/>
        <n v="14287"/>
        <n v="10796"/>
        <n v="38335"/>
        <n v="22165"/>
        <n v="6392"/>
        <n v="18082"/>
        <n v="35482"/>
        <n v="38817"/>
        <n v="43878"/>
        <n v="24827"/>
        <n v="48096"/>
        <n v="34491"/>
        <n v="27540"/>
        <n v="48837"/>
        <n v="7841"/>
        <n v="13508"/>
        <n v="38254"/>
        <n v="48022"/>
        <n v="31043"/>
        <n v="14950"/>
        <n v="48073"/>
        <n v="17606"/>
        <n v="12162"/>
        <n v="21865"/>
        <n v="18501"/>
        <n v="32905"/>
        <n v="16344"/>
        <n v="10285"/>
        <n v="15564"/>
        <n v="10015"/>
        <n v="40740"/>
        <n v="41793"/>
        <n v="4427"/>
        <n v="28253"/>
        <n v="21475"/>
        <n v="34639"/>
        <n v="21816"/>
        <n v="39528"/>
        <n v="48662"/>
        <n v="42989"/>
        <n v="44523"/>
        <n v="45939"/>
        <n v="35039"/>
        <n v="18695"/>
        <n v="24844"/>
        <n v="29514"/>
        <n v="7530"/>
        <n v="14032"/>
        <n v="35750"/>
        <n v="34942"/>
        <n v="8510"/>
        <n v="28612"/>
        <n v="7044"/>
        <n v="39889"/>
        <n v="38008"/>
        <n v="811"/>
        <n v="46234"/>
        <n v="38014"/>
        <n v="42121"/>
        <n v="3918"/>
        <n v="21820"/>
        <n v="17711"/>
        <n v="43245"/>
        <n v="38752"/>
        <n v="12289"/>
        <n v="25902"/>
        <n v="17640"/>
        <n v="30502"/>
        <n v="43847"/>
        <n v="17421"/>
        <n v="43763"/>
        <n v="12233"/>
        <n v="33681"/>
        <n v="37238"/>
        <n v="34150"/>
        <n v="40303"/>
        <n v="13594"/>
        <n v="14541"/>
        <n v="2510"/>
        <n v="26161"/>
        <n v="18172"/>
        <n v="2973"/>
        <n v="2410"/>
        <n v="48460"/>
        <n v="30720"/>
        <n v="39853"/>
        <n v="49090"/>
        <n v="820"/>
        <n v="15010"/>
        <n v="47053"/>
        <n v="38779"/>
        <n v="25798"/>
        <n v="37647"/>
        <n v="21319"/>
        <n v="16650"/>
        <n v="16338"/>
        <n v="31258"/>
        <n v="12836"/>
        <n v="43943"/>
        <n v="20204"/>
        <n v="40351"/>
        <n v="41148"/>
        <n v="15960"/>
        <n v="49319"/>
        <n v="24224"/>
        <n v="18634"/>
        <n v="2693"/>
        <n v="11476"/>
        <n v="4135"/>
        <n v="28862"/>
        <n v="35864"/>
        <n v="6116"/>
        <n v="23860"/>
        <n v="21580"/>
        <n v="27230"/>
        <n v="34699"/>
        <n v="31467"/>
        <n v="32978"/>
        <n v="16445"/>
        <n v="46923"/>
        <n v="46402"/>
        <n v="17783"/>
        <n v="4660"/>
        <n v="5169"/>
        <n v="24527"/>
        <n v="10524"/>
        <n v="48277"/>
        <n v="32663"/>
        <n v="18732"/>
        <n v="2977"/>
        <n v="38244"/>
        <n v="17619"/>
        <n v="49878"/>
        <n v="27966"/>
        <n v="41409"/>
        <n v="44866"/>
        <n v="19813"/>
        <n v="37915"/>
        <n v="29284"/>
        <n v="44716"/>
        <n v="2824"/>
        <n v="32374"/>
        <n v="12552"/>
        <n v="3570"/>
        <n v="12568"/>
        <n v="42908"/>
        <n v="3173"/>
        <n v="12167"/>
        <n v="9093"/>
        <n v="41391"/>
        <n v="13188"/>
        <n v="23643"/>
        <n v="38693"/>
        <n v="22740"/>
        <n v="41040"/>
        <n v="47778"/>
        <n v="6625"/>
        <n v="36513"/>
        <n v="40880"/>
        <n v="8172"/>
        <n v="17962"/>
        <n v="13447"/>
        <n v="44328"/>
        <n v="33638"/>
        <n v="15585"/>
        <n v="36419"/>
        <n v="45611"/>
        <n v="1262"/>
        <n v="49530"/>
        <n v="38792"/>
        <n v="26313"/>
        <n v="49394"/>
        <n v="6019"/>
        <n v="48175"/>
        <n v="48150"/>
        <n v="14951"/>
        <n v="31878"/>
        <n v="26720"/>
        <n v="24606"/>
        <n v="16690"/>
        <n v="29845"/>
        <n v="24118"/>
        <n v="32163"/>
        <n v="32238"/>
        <n v="28578"/>
        <n v="46403"/>
        <n v="16156"/>
        <n v="1373"/>
        <n v="760"/>
        <n v="7365"/>
        <n v="48597"/>
        <n v="24370"/>
        <n v="17949"/>
        <n v="48641"/>
        <n v="46321"/>
        <n v="8476"/>
        <n v="26357"/>
        <n v="37285"/>
        <n v="27621"/>
        <n v="11215"/>
        <n v="33233"/>
        <n v="49301"/>
        <n v="35118"/>
        <n v="9588"/>
        <n v="24146"/>
        <n v="7695"/>
        <n v="26253"/>
        <n v="21411"/>
        <n v="31142"/>
        <n v="18594"/>
        <n v="18569"/>
        <n v="23129"/>
        <n v="27861"/>
        <n v="23348"/>
        <n v="20812"/>
        <n v="42438"/>
        <n v="39905"/>
        <n v="27323"/>
        <n v="31654"/>
        <n v="47375"/>
        <n v="18825"/>
        <n v="32261"/>
        <n v="41608"/>
        <n v="28134"/>
        <n v="23778"/>
        <n v="12110"/>
        <n v="33463"/>
        <n v="42461"/>
        <n v="30087"/>
        <n v="40743"/>
        <n v="20583"/>
        <n v="9263"/>
        <n v="9357"/>
        <n v="44680"/>
        <n v="47609"/>
        <n v="10164"/>
        <n v="47780"/>
        <n v="4972"/>
        <n v="36690"/>
        <n v="26263"/>
        <n v="47670"/>
        <n v="13746"/>
        <n v="689"/>
        <n v="29619"/>
        <n v="1483"/>
        <n v="37041"/>
        <n v="30717"/>
        <n v="42889"/>
        <n v="5860"/>
        <n v="28388"/>
        <n v="10931"/>
        <n v="21004"/>
        <n v="5295"/>
        <n v="11138"/>
        <n v="32476"/>
        <n v="11362"/>
        <n v="12951"/>
        <n v="19499"/>
        <n v="28392"/>
        <n v="26039"/>
        <n v="20087"/>
        <n v="722"/>
        <n v="35600"/>
        <n v="47016"/>
        <n v="24718"/>
        <n v="34850"/>
        <n v="37986"/>
        <n v="47122"/>
        <n v="43904"/>
        <n v="36970"/>
        <n v="3278"/>
        <n v="28971"/>
        <n v="18974"/>
        <n v="10509"/>
        <n v="3860"/>
        <n v="5258"/>
        <n v="27460"/>
        <n v="25936"/>
        <n v="3911"/>
        <n v="9950"/>
        <n v="8664"/>
        <n v="12478"/>
        <n v="11546"/>
        <n v="32853"/>
        <n v="21135"/>
        <n v="32012"/>
        <n v="2051"/>
        <n v="30741"/>
        <n v="33587"/>
        <n v="28147"/>
        <n v="49359"/>
        <n v="27141"/>
        <n v="29974"/>
        <n v="44020"/>
        <n v="3735"/>
        <n v="5346"/>
        <n v="1952"/>
        <n v="34172"/>
        <n v="8775"/>
        <n v="5033"/>
        <n v="26674"/>
        <n v="20196"/>
        <n v="28940"/>
        <n v="27434"/>
        <n v="36342"/>
        <n v="3901"/>
        <n v="28554"/>
        <n v="18725"/>
        <n v="26211"/>
        <n v="3492"/>
        <n v="18500"/>
        <n v="6460"/>
        <n v="46058"/>
        <n v="35127"/>
        <n v="6739"/>
        <n v="7128"/>
        <n v="30789"/>
        <n v="34167"/>
        <n v="27982"/>
        <n v="45178"/>
        <n v="20686"/>
        <n v="22176"/>
        <n v="34977"/>
        <n v="24713"/>
        <n v="14634"/>
        <n v="42281"/>
        <n v="22094"/>
        <n v="48438"/>
        <n v="1806"/>
        <n v="1797"/>
        <n v="22146"/>
        <n v="28890"/>
        <n v="30365"/>
        <n v="27290"/>
        <n v="15468"/>
        <n v="15432"/>
        <n v="17385"/>
        <n v="23172"/>
        <n v="35143"/>
        <n v="19613"/>
        <n v="29175"/>
        <n v="761"/>
        <n v="44005"/>
        <n v="37830"/>
        <n v="30990"/>
        <n v="37276"/>
        <n v="3614"/>
        <n v="1787"/>
        <n v="43962"/>
        <n v="19618"/>
        <n v="38277"/>
        <n v="3112"/>
        <n v="30874"/>
        <n v="47293"/>
        <n v="10877"/>
        <n v="30420"/>
        <n v="13527"/>
        <n v="15821"/>
        <n v="34229"/>
        <n v="31430"/>
        <n v="21727"/>
        <n v="29607"/>
        <n v="644"/>
        <n v="28064"/>
        <n v="24725"/>
        <n v="44693"/>
        <n v="16245"/>
        <n v="44286"/>
        <n v="11716"/>
        <n v="23027"/>
        <n v="34403"/>
        <n v="9157"/>
        <n v="9445"/>
        <n v="34382"/>
        <n v="18084"/>
        <n v="6705"/>
        <n v="45185"/>
        <n v="7759"/>
        <n v="46762"/>
        <n v="42323"/>
        <n v="42917"/>
        <n v="22712"/>
        <n v="34333"/>
        <n v="1166"/>
        <n v="34056"/>
        <n v="2768"/>
        <n v="18264"/>
        <n v="685"/>
        <n v="2591"/>
        <n v="13193"/>
        <n v="23525"/>
        <n v="25512"/>
        <n v="8108"/>
        <n v="35537"/>
        <n v="42441"/>
        <n v="13342"/>
        <n v="41298"/>
        <n v="44555"/>
        <n v="26064"/>
        <n v="44604"/>
        <n v="38886"/>
        <n v="18890"/>
        <n v="4506"/>
        <n v="31371"/>
        <n v="14521"/>
        <n v="16715"/>
        <n v="42436"/>
        <n v="30040"/>
        <n v="49576"/>
        <n v="28739"/>
        <n v="38851"/>
        <n v="17163"/>
        <n v="3466"/>
        <n v="10969"/>
        <n v="22976"/>
        <n v="31009"/>
        <n v="49668"/>
        <n v="37653"/>
        <n v="8360"/>
        <n v="19219"/>
        <n v="49687"/>
        <n v="24867"/>
        <n v="35334"/>
        <n v="8124"/>
        <n v="39672"/>
        <n v="1613"/>
        <n v="47409"/>
        <n v="44130"/>
        <n v="9775"/>
        <n v="32851"/>
        <n v="7252"/>
        <n v="19739"/>
        <n v="4226"/>
        <n v="37301"/>
        <n v="49150"/>
        <n v="662"/>
        <n v="37665"/>
        <n v="28124"/>
        <n v="40705"/>
        <n v="3295"/>
        <n v="6708"/>
        <n v="29590"/>
        <n v="22137"/>
        <n v="47903"/>
        <n v="39000"/>
        <n v="5297"/>
        <n v="35519"/>
        <n v="34676"/>
        <n v="14404"/>
        <n v="45876"/>
        <n v="38006"/>
        <n v="3458"/>
        <n v="30231"/>
        <n v="40791"/>
        <n v="1747"/>
        <n v="10711"/>
        <n v="30740"/>
        <n v="18751"/>
        <n v="49229"/>
        <n v="44927"/>
        <n v="36871"/>
        <n v="39950"/>
        <n v="2676"/>
        <n v="49763"/>
        <n v="19467"/>
        <n v="8745"/>
        <n v="44563"/>
        <n v="30216"/>
        <n v="25569"/>
        <n v="15861"/>
        <n v="4437"/>
        <n v="28090"/>
        <n v="5837"/>
        <n v="10263"/>
        <n v="25069"/>
        <n v="41247"/>
        <n v="41009"/>
        <n v="5126"/>
        <n v="46023"/>
        <n v="23448"/>
        <n v="44717"/>
        <n v="7836"/>
        <n v="27035"/>
        <n v="28039"/>
        <n v="31327"/>
        <n v="46447"/>
        <n v="32372"/>
        <n v="5262"/>
        <n v="23656"/>
        <n v="20752"/>
        <n v="48325"/>
        <n v="7993"/>
        <n v="46398"/>
        <n v="32604"/>
        <n v="44070"/>
        <n v="3171"/>
        <n v="30610"/>
        <n v="37639"/>
        <n v="22519"/>
        <n v="4820"/>
        <n v="5854"/>
        <n v="26689"/>
        <n v="39613"/>
        <n v="23392"/>
        <n v="29601"/>
        <n v="38478"/>
        <n v="20630"/>
        <n v="22582"/>
        <n v="5847"/>
        <n v="1906"/>
        <n v="21137"/>
        <n v="981"/>
        <n v="38050"/>
        <n v="41301"/>
        <n v="17673"/>
        <n v="29399"/>
        <n v="12503"/>
        <n v="13954"/>
        <n v="38148"/>
        <n v="36631"/>
        <n v="26062"/>
        <n v="21128"/>
        <n v="9643"/>
        <n v="29563"/>
        <n v="1773"/>
        <n v="33290"/>
        <n v="28363"/>
        <n v="2657"/>
        <n v="13127"/>
        <n v="44308"/>
        <n v="37409"/>
        <n v="25271"/>
        <n v="26065"/>
        <n v="17567"/>
        <n v="29001"/>
        <n v="39751"/>
        <n v="28262"/>
        <n v="7464"/>
        <n v="41541"/>
        <n v="32275"/>
        <n v="3192"/>
        <n v="16899"/>
        <n v="31365"/>
        <n v="22279"/>
        <n v="1945"/>
        <n v="13179"/>
        <n v="10064"/>
        <n v="8475"/>
        <n v="49533"/>
        <n v="43856"/>
        <n v="5540"/>
        <n v="1880"/>
        <n v="15264"/>
        <n v="49680"/>
        <n v="32985"/>
        <n v="6187"/>
        <n v="18669"/>
        <n v="43350"/>
        <n v="34808"/>
        <n v="2808"/>
        <n v="10761"/>
        <n v="20999"/>
        <n v="17615"/>
        <n v="11210"/>
        <n v="30337"/>
        <n v="26924"/>
        <n v="8789"/>
        <n v="37089"/>
        <n v="27936"/>
        <n v="9561"/>
        <n v="32194"/>
        <n v="35915"/>
        <n v="24057"/>
        <n v="28583"/>
        <n v="28846"/>
        <n v="5917"/>
        <n v="24799"/>
        <n v="27775"/>
        <n v="34401"/>
        <n v="39136"/>
        <n v="3105"/>
        <n v="9858"/>
        <n v="21522"/>
        <n v="30222"/>
        <n v="5138"/>
        <n v="32209"/>
        <n v="46193"/>
        <n v="540"/>
        <n v="41105"/>
        <n v="5736"/>
        <n v="2645"/>
        <n v="3984"/>
        <n v="28773"/>
        <n v="34126"/>
        <n v="23702"/>
        <n v="34889"/>
        <n v="39161"/>
        <n v="39794"/>
        <n v="47579"/>
        <n v="1800"/>
        <n v="2929"/>
        <n v="40344"/>
        <n v="31199"/>
        <n v="3398"/>
        <n v="44971"/>
        <n v="46862"/>
        <n v="36346"/>
        <n v="28946"/>
        <n v="6463"/>
        <n v="46550"/>
        <n v="38808"/>
        <n v="45018"/>
        <n v="12170"/>
        <n v="3713"/>
        <n v="6982"/>
        <n v="14651"/>
        <n v="28144"/>
        <n v="37365"/>
        <n v="15106"/>
        <n v="29452"/>
        <n v="25244"/>
        <n v="27426"/>
        <n v="3219"/>
        <n v="43508"/>
        <n v="15078"/>
        <n v="45044"/>
        <n v="33839"/>
        <n v="39998"/>
        <n v="45069"/>
        <n v="14780"/>
        <n v="17134"/>
        <n v="23849"/>
        <n v="2022"/>
        <n v="47526"/>
        <n v="14069"/>
        <n v="9974"/>
        <n v="47854"/>
        <n v="27459"/>
        <n v="4991"/>
        <n v="2779"/>
        <n v="11565"/>
        <n v="976"/>
        <n v="38161"/>
        <n v="41821"/>
        <n v="19957"/>
        <n v="24846"/>
        <n v="37071"/>
        <n v="11981"/>
        <n v="43497"/>
        <n v="7988"/>
        <n v="4925"/>
        <n v="18214"/>
        <n v="47130"/>
        <n v="16921"/>
        <n v="44418"/>
        <n v="22196"/>
        <n v="23481"/>
        <n v="15450"/>
        <n v="7064"/>
        <n v="3385"/>
        <n v="7593"/>
        <n v="25982"/>
        <n v="47947"/>
        <n v="14986"/>
        <n v="46062"/>
        <n v="49313"/>
        <n v="15671"/>
        <n v="7018"/>
        <n v="47807"/>
        <n v="20639"/>
        <n v="17002"/>
        <n v="46359"/>
        <n v="39750"/>
        <n v="44355"/>
        <n v="17393"/>
        <n v="28011"/>
        <n v="34086"/>
        <n v="42050"/>
        <n v="4729"/>
        <n v="27906"/>
        <n v="6670"/>
        <n v="7697"/>
        <n v="43537"/>
        <n v="31478"/>
        <n v="45735"/>
        <n v="20882"/>
        <n v="8983"/>
        <n v="15528"/>
        <n v="38927"/>
        <n v="18415"/>
        <n v="46153"/>
        <n v="11227"/>
        <n v="35065"/>
        <n v="25728"/>
        <n v="15388"/>
        <n v="1746"/>
        <n v="21932"/>
        <n v="4776"/>
        <n v="2855"/>
        <n v="42931"/>
        <n v="32294"/>
        <n v="16703"/>
        <n v="48243"/>
        <n v="2302"/>
        <n v="7665"/>
        <n v="21162"/>
        <n v="46042"/>
        <n v="10181"/>
        <n v="12887"/>
        <n v="18260"/>
        <n v="37463"/>
        <n v="37978"/>
        <n v="34963"/>
        <n v="6853"/>
        <n v="35796"/>
        <n v="19701"/>
        <n v="40432"/>
        <n v="8310"/>
        <n v="4614"/>
        <n v="4214"/>
        <n v="819"/>
        <n v="11692"/>
        <n v="24162"/>
        <n v="39921"/>
        <n v="48310"/>
        <n v="5782"/>
        <n v="39246"/>
        <n v="13360"/>
        <n v="17757"/>
        <n v="1246"/>
        <n v="18967"/>
        <n v="46199"/>
        <n v="4879"/>
        <n v="22233"/>
        <n v="21777"/>
        <n v="48189"/>
        <n v="42328"/>
        <n v="5529"/>
        <n v="28467"/>
        <n v="37913"/>
        <n v="5981"/>
        <n v="28435"/>
        <n v="21487"/>
        <n v="40093"/>
        <n v="12789"/>
        <n v="6474"/>
        <n v="37208"/>
        <n v="4979"/>
        <n v="32519"/>
        <n v="36667"/>
        <n v="40878"/>
        <n v="34201"/>
        <n v="40396"/>
        <n v="42010"/>
        <n v="25015"/>
        <n v="30328"/>
        <n v="9593"/>
        <n v="11587"/>
        <n v="16834"/>
        <n v="12860"/>
        <n v="49168"/>
        <n v="25323"/>
        <n v="629"/>
        <n v="15267"/>
        <n v="13325"/>
        <n v="35761"/>
        <n v="35812"/>
        <n v="29387"/>
        <n v="23622"/>
        <n v="44819"/>
        <n v="42484"/>
        <n v="44428"/>
        <n v="26452"/>
        <n v="12998"/>
        <n v="21936"/>
        <n v="14402"/>
        <n v="17141"/>
        <n v="42401"/>
        <n v="46781"/>
        <n v="19355"/>
        <n v="30707"/>
        <n v="33726"/>
        <n v="15207"/>
        <n v="37501"/>
        <n v="35874"/>
        <n v="32525"/>
        <n v="47032"/>
        <n v="25320"/>
        <n v="22155"/>
        <n v="1739"/>
        <n v="33381"/>
        <n v="34458"/>
        <n v="32487"/>
        <n v="26140"/>
        <n v="43697"/>
        <n v="27413"/>
        <n v="42222"/>
        <n v="44138"/>
        <n v="45746"/>
        <n v="42941"/>
        <n v="15072"/>
        <n v="38426"/>
        <n v="22266"/>
        <n v="3842"/>
        <n v="29327"/>
        <n v="35651"/>
        <n v="1029"/>
        <n v="14670"/>
        <n v="25855"/>
        <n v="31309"/>
        <n v="42967"/>
        <n v="34640"/>
        <n v="7877"/>
        <n v="19179"/>
        <n v="8381"/>
        <n v="32424"/>
        <n v="20236"/>
        <n v="21624"/>
        <n v="11588"/>
        <n v="14843"/>
        <n v="3648"/>
        <n v="8714"/>
        <n v="36445"/>
        <n v="21781"/>
        <n v="16189"/>
        <n v="13430"/>
        <n v="39782"/>
        <n v="21995"/>
        <n v="12966"/>
        <n v="9153"/>
        <n v="22553"/>
        <n v="519"/>
        <n v="2098"/>
        <n v="10506"/>
        <n v="24819"/>
        <n v="31137"/>
        <n v="23143"/>
        <n v="49074"/>
        <n v="44513"/>
        <n v="40753"/>
        <n v="21041"/>
        <n v="43463"/>
        <n v="43371"/>
        <n v="7851"/>
        <n v="31739"/>
        <n v="31102"/>
        <n v="35286"/>
        <n v="4169"/>
        <n v="24390"/>
        <n v="24470"/>
        <n v="46744"/>
        <n v="48787"/>
        <n v="32062"/>
        <n v="38195"/>
        <n v="10121"/>
        <n v="27669"/>
        <n v="35305"/>
        <n v="21408"/>
        <n v="43948"/>
        <n v="20826"/>
        <n v="24873"/>
        <n v="45095"/>
        <n v="20730"/>
        <n v="48858"/>
        <n v="23561"/>
        <n v="40962"/>
        <n v="43426"/>
        <n v="14944"/>
        <n v="15715"/>
        <n v="9745"/>
        <n v="44552"/>
        <n v="18286"/>
        <n v="16262"/>
        <n v="22576"/>
        <n v="44080"/>
        <n v="49211"/>
        <n v="5791"/>
        <n v="28949"/>
        <n v="42545"/>
        <n v="33130"/>
        <n v="17358"/>
        <n v="21238"/>
        <n v="35097"/>
        <n v="11542"/>
        <n v="26367"/>
        <n v="32201"/>
        <n v="15993"/>
        <n v="49907"/>
        <n v="14963"/>
        <n v="25497"/>
        <n v="10258"/>
        <n v="6537"/>
        <n v="35618"/>
        <n v="28133"/>
        <n v="48960"/>
        <n v="48264"/>
        <n v="41578"/>
        <n v="31162"/>
        <n v="44666"/>
        <n v="11652"/>
        <n v="10895"/>
        <n v="1761"/>
        <n v="31415"/>
        <n v="28746"/>
        <n v="14194"/>
        <n v="526"/>
        <n v="29421"/>
        <n v="4889"/>
        <n v="1105"/>
        <n v="9382"/>
        <n v="17695"/>
        <n v="48509"/>
        <n v="42934"/>
        <n v="3140"/>
        <n v="6856"/>
        <n v="23236"/>
        <n v="32020"/>
        <n v="23603"/>
        <n v="49262"/>
        <n v="17662"/>
        <n v="44493"/>
        <n v="26833"/>
        <n v="34787"/>
        <n v="35317"/>
        <n v="22806"/>
        <n v="43566"/>
        <n v="14253"/>
        <n v="7104"/>
        <n v="8812"/>
        <n v="15277"/>
        <n v="25286"/>
        <n v="23336"/>
        <n v="24168"/>
        <n v="45660"/>
        <n v="1699"/>
        <n v="3242"/>
        <n v="33934"/>
        <n v="5332"/>
        <n v="22679"/>
        <n v="14089"/>
        <n v="23290"/>
        <n v="31584"/>
        <n v="5681"/>
        <n v="27034"/>
        <n v="9972"/>
        <n v="14283"/>
        <n v="26286"/>
        <n v="21962"/>
        <n v="38813"/>
        <n v="11015"/>
        <n v="19172"/>
        <n v="39808"/>
        <n v="30556"/>
        <n v="14432"/>
        <n v="42812"/>
        <n v="16831"/>
        <n v="8623"/>
        <n v="2106"/>
        <n v="3790"/>
        <n v="7986"/>
        <n v="16201"/>
        <n v="19674"/>
        <n v="5137"/>
        <n v="23023"/>
        <n v="47072"/>
        <n v="49807"/>
        <n v="17780"/>
        <n v="23645"/>
        <n v="8493"/>
        <n v="17776"/>
        <n v="33035"/>
        <n v="3848"/>
        <n v="3384"/>
        <n v="2536"/>
        <n v="38942"/>
        <n v="36354"/>
        <n v="31883"/>
        <n v="35576"/>
        <n v="26533"/>
        <n v="33586"/>
        <n v="26324"/>
        <n v="14442"/>
        <n v="29823"/>
        <n v="39692"/>
        <n v="16878"/>
        <n v="9882"/>
        <n v="31659"/>
        <n v="843"/>
        <n v="21680"/>
        <n v="25112"/>
        <n v="33783"/>
        <n v="35209"/>
        <n v="47884"/>
        <n v="21879"/>
        <n v="39362"/>
        <n v="43296"/>
        <n v="46349"/>
        <n v="9461"/>
        <n v="28852"/>
        <n v="38331"/>
        <n v="7849"/>
        <n v="14540"/>
        <n v="43205"/>
        <n v="13408"/>
        <n v="13207"/>
        <n v="17412"/>
        <n v="31536"/>
        <n v="27411"/>
        <n v="29332"/>
        <n v="12433"/>
        <n v="5305"/>
        <n v="7115"/>
        <n v="4676"/>
        <n v="43103"/>
        <n v="26172"/>
        <n v="37333"/>
        <n v="37072"/>
        <n v="17807"/>
        <n v="10609"/>
        <n v="42352"/>
        <n v="38280"/>
        <n v="44319"/>
        <n v="41470"/>
        <n v="32503"/>
        <n v="39463"/>
        <n v="14929"/>
        <n v="42463"/>
        <n v="25268"/>
        <n v="16064"/>
        <n v="13694"/>
        <n v="49629"/>
        <n v="26422"/>
        <n v="20405"/>
        <n v="48441"/>
        <n v="36311"/>
        <n v="34223"/>
        <n v="32733"/>
        <n v="40747"/>
        <n v="33073"/>
        <n v="2323"/>
        <n v="14354"/>
        <n v="4223"/>
        <n v="44232"/>
        <n v="1008"/>
        <n v="9204"/>
        <n v="28192"/>
        <n v="17911"/>
        <n v="34085"/>
        <n v="8841"/>
        <n v="27173"/>
        <n v="3235"/>
        <n v="28908"/>
        <n v="24123"/>
        <n v="7886"/>
        <n v="16212"/>
        <n v="46940"/>
        <n v="13747"/>
        <n v="9594"/>
        <n v="7872"/>
        <n v="19074"/>
        <n v="6974"/>
        <n v="21960"/>
        <n v="17174"/>
        <n v="1735"/>
        <n v="6589"/>
        <n v="38893"/>
        <n v="49122"/>
        <n v="5221"/>
        <n v="47697"/>
        <n v="35307"/>
        <n v="18793"/>
        <n v="18740"/>
        <n v="43806"/>
        <n v="21661"/>
        <n v="17140"/>
        <n v="18208"/>
        <n v="14551"/>
        <n v="13072"/>
        <n v="44388"/>
        <n v="29121"/>
        <n v="26938"/>
        <n v="42748"/>
        <n v="31333"/>
        <n v="13703"/>
        <n v="48071"/>
        <n v="2115"/>
        <n v="42309"/>
        <n v="33455"/>
        <n v="10791"/>
        <n v="5103"/>
        <n v="38312"/>
        <n v="16392"/>
        <n v="16265"/>
        <n v="37404"/>
        <n v="26490"/>
        <n v="721"/>
        <n v="48249"/>
        <n v="15730"/>
        <n v="16838"/>
        <n v="44345"/>
        <n v="21878"/>
        <n v="21029"/>
        <n v="8482"/>
        <n v="12940"/>
        <n v="26467"/>
        <n v="37690"/>
        <n v="10088"/>
        <n v="44434"/>
        <n v="22184"/>
        <n v="15250"/>
        <n v="26256"/>
        <n v="23705"/>
        <n v="10096"/>
        <n v="46433"/>
        <n v="22429"/>
        <n v="28563"/>
        <n v="9286"/>
        <n v="20716"/>
        <n v="4541"/>
        <n v="40533"/>
        <n v="24648"/>
        <n v="1814"/>
        <n v="33104"/>
        <n v="1070"/>
        <n v="15666"/>
        <n v="29636"/>
        <n v="9663"/>
        <n v="47870"/>
        <n v="12964"/>
        <n v="33166"/>
        <n v="47637"/>
        <n v="32672"/>
        <n v="19337"/>
        <n v="22443"/>
        <n v="2421"/>
        <n v="49182"/>
        <n v="38385"/>
        <n v="34761"/>
        <n v="10043"/>
        <n v="24376"/>
        <n v="43258"/>
        <n v="22733"/>
        <n v="23067"/>
        <n v="36041"/>
        <n v="21645"/>
        <n v="48494"/>
        <n v="1865"/>
        <n v="3394"/>
        <n v="12315"/>
        <n v="5352"/>
        <n v="47891"/>
        <n v="4547"/>
        <n v="16249"/>
        <n v="28622"/>
        <n v="37273"/>
        <n v="36030"/>
        <n v="2443"/>
        <n v="5751"/>
        <n v="17926"/>
        <n v="40298"/>
        <n v="43677"/>
        <n v="27770"/>
        <n v="23401"/>
        <n v="16505"/>
        <n v="17201"/>
        <n v="7329"/>
        <n v="20483"/>
        <n v="38551"/>
        <n v="33698"/>
        <n v="39972"/>
        <n v="7090"/>
        <n v="7862"/>
        <n v="30437"/>
        <n v="28933"/>
        <n v="49112"/>
        <n v="35852"/>
        <n v="28269"/>
        <n v="38184"/>
        <n v="29529"/>
        <n v="29665"/>
        <n v="37627"/>
        <n v="13585"/>
        <n v="39684"/>
        <n v="20969"/>
        <n v="35134"/>
        <n v="2472"/>
        <n v="46310"/>
        <n v="49790"/>
        <n v="12279"/>
        <n v="14461"/>
        <n v="29637"/>
        <n v="48939"/>
        <n v="47147"/>
        <n v="30441"/>
        <n v="16649"/>
        <n v="28641"/>
        <n v="1119"/>
        <n v="26384"/>
        <n v="805"/>
        <n v="15159"/>
        <n v="47715"/>
        <n v="38410"/>
        <n v="40430"/>
        <n v="36084"/>
        <n v="48727"/>
        <n v="32460"/>
        <n v="9226"/>
        <n v="7775"/>
        <n v="12459"/>
        <n v="40773"/>
        <n v="28882"/>
        <n v="18867"/>
        <n v="21863"/>
        <n v="2303"/>
        <n v="27471"/>
        <n v="26606"/>
        <n v="9635"/>
        <n v="42851"/>
        <n v="2424"/>
        <n v="18711"/>
        <n v="17675"/>
        <n v="13020"/>
        <n v="47432"/>
        <n v="30064"/>
        <n v="44445"/>
        <n v="31512"/>
        <n v="25904"/>
        <n v="17596"/>
        <n v="8538"/>
        <n v="34301"/>
        <n v="17598"/>
        <n v="45166"/>
        <n v="6215"/>
        <n v="30755"/>
        <n v="11715"/>
        <n v="49686"/>
        <n v="43797"/>
        <n v="12649"/>
        <n v="7330"/>
        <n v="36144"/>
        <n v="40974"/>
        <n v="48492"/>
        <n v="32258"/>
        <n v="10053"/>
        <n v="44668"/>
        <n v="587"/>
        <n v="13841"/>
        <n v="25111"/>
        <n v="6377"/>
        <n v="37570"/>
        <n v="8284"/>
        <n v="40911"/>
        <n v="40178"/>
        <n v="11025"/>
        <n v="44280"/>
        <n v="43979"/>
        <n v="18222"/>
        <n v="38901"/>
        <n v="44401"/>
        <n v="14869"/>
        <n v="31981"/>
        <n v="678"/>
        <n v="12036"/>
        <n v="2083"/>
        <n v="20286"/>
        <n v="34843"/>
        <n v="16949"/>
        <n v="7137"/>
        <n v="35966"/>
        <n v="11729"/>
        <n v="32869"/>
        <n v="37141"/>
        <n v="36150"/>
        <n v="16969"/>
        <n v="47867"/>
        <n v="24312"/>
        <n v="14275"/>
        <n v="49934"/>
        <n v="21595"/>
        <n v="1130"/>
        <n v="2283"/>
        <n v="38407"/>
        <n v="36953"/>
        <n v="22743"/>
        <n v="2909"/>
        <n v="33245"/>
        <n v="40415"/>
        <n v="14962"/>
        <n v="44390"/>
        <n v="41401"/>
        <n v="36439"/>
        <n v="39714"/>
        <n v="40212"/>
        <n v="44865"/>
        <n v="10321"/>
        <n v="1553"/>
        <n v="9289"/>
        <n v="45977"/>
        <n v="29237"/>
        <n v="34314"/>
        <n v="10842"/>
        <n v="19409"/>
        <n v="39619"/>
        <n v="32975"/>
        <n v="15365"/>
        <n v="35030"/>
        <n v="28555"/>
        <n v="33292"/>
        <n v="47531"/>
        <n v="31570"/>
        <n v="1017"/>
        <n v="13013"/>
        <n v="33501"/>
        <n v="29138"/>
        <n v="27901"/>
        <n v="2067"/>
        <n v="26885"/>
        <n v="14849"/>
        <n v="21939"/>
        <n v="38477"/>
        <n v="27188"/>
        <n v="33651"/>
        <n v="33526"/>
        <n v="27721"/>
        <n v="9447"/>
        <n v="3407"/>
        <n v="43302"/>
        <n v="968"/>
        <n v="48957"/>
        <n v="5958"/>
        <n v="44348"/>
        <n v="46720"/>
        <n v="30646"/>
        <n v="49216"/>
        <n v="979"/>
        <n v="21539"/>
        <n v="47636"/>
        <n v="46715"/>
        <n v="41565"/>
        <n v="47733"/>
        <n v="44381"/>
        <n v="33449"/>
        <n v="4549"/>
        <n v="4068"/>
        <n v="2770"/>
        <n v="12629"/>
        <n v="23890"/>
        <n v="39018"/>
        <n v="39270"/>
        <n v="31431"/>
        <n v="18437"/>
        <n v="14197"/>
        <n v="23675"/>
        <n v="25832"/>
        <n v="6841"/>
        <n v="755"/>
        <n v="3109"/>
        <n v="23056"/>
        <n v="29864"/>
        <n v="34218"/>
        <n v="33002"/>
        <n v="46437"/>
        <n v="33482"/>
        <n v="44540"/>
        <n v="44913"/>
        <n v="22822"/>
        <n v="28576"/>
        <n v="44169"/>
        <n v="20709"/>
        <n v="44663"/>
        <n v="10256"/>
        <n v="24108"/>
        <n v="17439"/>
        <n v="37222"/>
        <n v="43599"/>
        <n v="14591"/>
        <n v="3069"/>
        <n v="18792"/>
        <n v="49451"/>
        <n v="42199"/>
        <n v="25275"/>
        <n v="617"/>
        <n v="28138"/>
        <n v="5113"/>
        <n v="37597"/>
        <n v="4579"/>
        <n v="35878"/>
        <n v="41101"/>
        <n v="19050"/>
        <n v="8033"/>
        <n v="29177"/>
        <n v="49174"/>
        <n v="25033"/>
        <n v="36416"/>
        <n v="48253"/>
        <n v="25823"/>
        <n v="25079"/>
        <n v="47315"/>
        <n v="48116"/>
        <n v="30271"/>
        <n v="10795"/>
        <n v="38436"/>
        <n v="36696"/>
        <n v="41151"/>
        <n v="13336"/>
        <n v="46911"/>
        <n v="29744"/>
        <n v="8031"/>
        <n v="11226"/>
        <n v="23823"/>
        <n v="17966"/>
        <n v="41816"/>
        <n v="32200"/>
        <n v="19996"/>
        <n v="1561"/>
        <n v="22378"/>
        <n v="13177"/>
        <n v="13418"/>
        <n v="37784"/>
        <n v="30752"/>
        <n v="35588"/>
        <n v="42496"/>
        <n v="41482"/>
        <n v="31546"/>
        <n v="8631"/>
        <n v="41535"/>
        <n v="45227"/>
        <n v="49342"/>
        <n v="46011"/>
        <n v="40671"/>
        <n v="43143"/>
        <n v="42152"/>
        <n v="26931"/>
        <n v="42763"/>
        <n v="11012"/>
        <n v="5913"/>
        <n v="45613"/>
        <n v="24145"/>
        <n v="18094"/>
        <n v="29810"/>
        <n v="33113"/>
        <n v="16313"/>
        <n v="17623"/>
        <n v="11420"/>
        <n v="6818"/>
        <n v="3877"/>
        <n v="49987"/>
        <n v="13120"/>
        <n v="5211"/>
        <n v="19052"/>
        <n v="16679"/>
        <n v="29388"/>
        <n v="33595"/>
        <n v="20473"/>
        <n v="48467"/>
        <n v="12522"/>
        <n v="24044"/>
        <n v="45039"/>
        <n v="40185"/>
        <n v="16709"/>
        <n v="21444"/>
        <n v="18671"/>
        <n v="8730"/>
        <n v="8423"/>
        <n v="19071"/>
        <n v="19308"/>
        <n v="23245"/>
        <n v="10577"/>
        <n v="16816"/>
        <n v="18854"/>
        <n v="3566"/>
        <n v="42584"/>
        <n v="8824"/>
        <n v="17913"/>
        <n v="22444"/>
        <n v="48545"/>
        <n v="33127"/>
        <n v="10445"/>
        <n v="36979"/>
        <n v="27363"/>
        <n v="15969"/>
        <n v="27599"/>
        <n v="14137"/>
        <n v="26969"/>
        <n v="34239"/>
        <n v="28866"/>
        <n v="35697"/>
        <n v="11551"/>
        <n v="18054"/>
        <n v="39375"/>
        <n v="18022"/>
        <n v="22087"/>
        <n v="33882"/>
        <n v="4894"/>
        <n v="8236"/>
        <n v="4008"/>
        <n v="15991"/>
        <n v="36762"/>
        <n v="18547"/>
        <n v="39261"/>
        <n v="8604"/>
        <n v="17398"/>
        <n v="1496"/>
        <n v="26075"/>
        <n v="34331"/>
        <n v="49589"/>
        <n v="41193"/>
        <n v="41227"/>
        <n v="45895"/>
        <n v="29766"/>
        <n v="30196"/>
        <n v="44923"/>
        <n v="39888"/>
        <n v="39354"/>
        <n v="47536"/>
        <n v="48077"/>
        <n v="31785"/>
        <n v="29805"/>
        <n v="19835"/>
        <n v="40844"/>
        <n v="42641"/>
        <n v="21106"/>
        <n v="19913"/>
        <n v="26274"/>
        <n v="43164"/>
        <n v="11165"/>
        <n v="35560"/>
        <n v="1993"/>
        <n v="26489"/>
        <n v="14491"/>
        <n v="6042"/>
        <n v="12086"/>
        <n v="17451"/>
        <n v="27771"/>
        <n v="43519"/>
        <n v="1294"/>
        <n v="41941"/>
        <n v="2364"/>
        <n v="28397"/>
        <n v="38845"/>
        <n v="12768"/>
        <n v="11621"/>
        <n v="25063"/>
        <n v="24327"/>
        <n v="37190"/>
        <n v="25697"/>
        <n v="10629"/>
        <n v="47379"/>
        <n v="27196"/>
        <n v="43384"/>
        <n v="9804"/>
        <n v="40554"/>
        <n v="44603"/>
        <n v="38928"/>
        <n v="30236"/>
        <n v="36897"/>
        <n v="22180"/>
        <n v="30815"/>
        <n v="47171"/>
        <n v="37399"/>
        <n v="723"/>
        <n v="31083"/>
        <n v="20617"/>
        <n v="18702"/>
        <n v="23810"/>
        <n v="36145"/>
        <n v="36295"/>
        <n v="49356"/>
        <n v="40900"/>
        <n v="30284"/>
        <n v="21073"/>
        <n v="10044"/>
        <n v="44087"/>
        <n v="5710"/>
        <n v="3368"/>
        <n v="40853"/>
        <n v="7025"/>
        <n v="36954"/>
        <n v="18849"/>
        <n v="37352"/>
        <n v="31652"/>
        <n v="12217"/>
        <n v="40640"/>
        <n v="19997"/>
        <n v="8141"/>
        <n v="24319"/>
        <n v="4150"/>
        <n v="13215"/>
        <n v="30010"/>
        <n v="1893"/>
        <n v="13148"/>
        <n v="19791"/>
        <n v="46948"/>
        <n v="34421"/>
        <n v="49286"/>
        <n v="10862"/>
        <n v="8819"/>
        <n v="18133"/>
        <n v="2178"/>
        <n v="14698"/>
        <n v="16564"/>
        <n v="40665"/>
        <n v="10188"/>
        <n v="20201"/>
        <n v="42671"/>
        <n v="47543"/>
        <n v="41666"/>
        <n v="22327"/>
        <n v="48293"/>
        <n v="1919"/>
        <n v="30818"/>
        <n v="5998"/>
        <n v="27572"/>
        <n v="38192"/>
        <n v="20994"/>
        <n v="2848"/>
        <n v="6024"/>
        <n v="40903"/>
        <n v="4265"/>
        <n v="39176"/>
        <n v="27642"/>
        <n v="38932"/>
        <n v="23669"/>
        <n v="40625"/>
        <n v="24206"/>
        <n v="3987"/>
        <n v="19064"/>
        <n v="49419"/>
        <n v="2258"/>
        <n v="14686"/>
        <n v="46608"/>
        <n v="34599"/>
        <n v="32666"/>
        <n v="25461"/>
        <n v="29715"/>
        <n v="30207"/>
        <n v="46481"/>
        <n v="38781"/>
        <n v="24408"/>
        <n v="18420"/>
        <n v="48234"/>
        <n v="42781"/>
        <n v="10576"/>
        <n v="39879"/>
        <n v="27824"/>
        <n v="23930"/>
        <n v="19935"/>
        <n v="23461"/>
        <n v="1700"/>
        <n v="7291"/>
        <n v="39633"/>
        <n v="2184"/>
        <n v="34845"/>
        <n v="2016"/>
        <n v="15703"/>
        <n v="19119"/>
        <n v="32854"/>
        <n v="3136"/>
        <n v="11381"/>
        <n v="7640"/>
        <n v="10871"/>
        <n v="31277"/>
        <n v="3190"/>
        <n v="46735"/>
        <n v="7696"/>
        <n v="30866"/>
        <n v="37150"/>
        <n v="3858"/>
        <n v="17850"/>
        <n v="38366"/>
        <n v="18706"/>
        <n v="15540"/>
        <n v="15895"/>
        <n v="5042"/>
        <n v="10166"/>
        <n v="10232"/>
        <n v="8461"/>
        <n v="22992"/>
        <n v="30699"/>
        <n v="21628"/>
        <n v="16946"/>
        <n v="10814"/>
        <n v="44339"/>
        <n v="2994"/>
        <n v="10735"/>
        <n v="16202"/>
        <n v="45148"/>
        <n v="15535"/>
        <n v="38696"/>
        <n v="4354"/>
        <n v="12512"/>
        <n v="49048"/>
        <n v="12753"/>
        <n v="29015"/>
        <n v="30644"/>
        <n v="45772"/>
        <n v="21307"/>
        <n v="44423"/>
        <n v="19777"/>
        <n v="21794"/>
        <n v="45308"/>
        <n v="6556"/>
        <n v="47930"/>
        <n v="7355"/>
        <n v="25234"/>
        <n v="15372"/>
        <n v="39056"/>
        <n v="46111"/>
        <n v="44098"/>
        <n v="31651"/>
        <n v="4743"/>
        <n v="39042"/>
        <n v="11181"/>
        <n v="31160"/>
        <n v="1352"/>
        <n v="10541"/>
        <n v="46264"/>
        <n v="17382"/>
        <n v="44989"/>
        <n v="38719"/>
        <n v="19891"/>
        <n v="17862"/>
        <n v="10933"/>
        <n v="41363"/>
        <n v="37369"/>
        <n v="19414"/>
        <n v="10422"/>
        <n v="6671"/>
        <n v="26475"/>
        <n v="47438"/>
        <n v="41485"/>
        <n v="31903"/>
        <n v="17276"/>
        <n v="8367"/>
        <n v="40654"/>
        <n v="27149"/>
        <n v="8677"/>
        <n v="49232"/>
        <n v="25294"/>
        <n v="23192"/>
        <n v="43239"/>
        <n v="15739"/>
        <n v="45646"/>
        <n v="22245"/>
        <n v="48174"/>
        <n v="35524"/>
        <n v="1657"/>
        <n v="690"/>
        <n v="29213"/>
        <n v="31263"/>
        <n v="46732"/>
        <n v="19954"/>
        <n v="42246"/>
        <n v="24597"/>
        <n v="35450"/>
        <n v="20726"/>
        <n v="39266"/>
        <n v="43678"/>
        <n v="27118"/>
        <n v="34607"/>
        <n v="40885"/>
        <n v="37944"/>
        <n v="43347"/>
        <n v="41117"/>
        <n v="18996"/>
        <n v="39291"/>
        <n v="6478"/>
        <n v="4308"/>
        <n v="10113"/>
        <n v="43867"/>
        <n v="39752"/>
        <n v="43534"/>
        <n v="31275"/>
        <n v="23725"/>
        <n v="6321"/>
        <n v="39765"/>
        <n v="45259"/>
        <n v="24015"/>
        <n v="32112"/>
        <n v="13310"/>
        <n v="15244"/>
        <n v="8269"/>
        <n v="23144"/>
        <n v="43206"/>
        <n v="38606"/>
        <n v="22042"/>
        <n v="34103"/>
        <n v="24339"/>
        <n v="5008"/>
        <n v="47442"/>
        <n v="3476"/>
        <n v="44740"/>
        <n v="29743"/>
        <n v="3080"/>
        <n v="47496"/>
        <n v="34923"/>
        <n v="26350"/>
        <n v="49337"/>
        <n v="31669"/>
        <n v="26290"/>
        <n v="36388"/>
        <n v="47349"/>
        <n v="38802"/>
        <n v="46173"/>
        <n v="32755"/>
        <n v="22076"/>
        <n v="27373"/>
        <n v="42452"/>
        <n v="13492"/>
        <n v="4381"/>
        <n v="17628"/>
        <n v="7447"/>
        <n v="9156"/>
        <n v="4554"/>
        <n v="42240"/>
        <n v="2384"/>
        <n v="39351"/>
        <n v="41536"/>
        <n v="19769"/>
        <n v="32101"/>
        <n v="31746"/>
        <n v="42407"/>
        <n v="26165"/>
        <n v="7417"/>
        <n v="12875"/>
        <n v="16053"/>
        <n v="14789"/>
        <n v="21063"/>
        <n v="14014"/>
        <n v="40652"/>
        <n v="46794"/>
        <n v="33110"/>
        <n v="45063"/>
        <n v="29499"/>
        <n v="27913"/>
        <n v="20513"/>
        <n v="27334"/>
        <n v="17914"/>
        <n v="28570"/>
        <n v="29143"/>
        <n v="37146"/>
        <n v="4610"/>
        <n v="46012"/>
        <n v="35729"/>
        <n v="38304"/>
        <n v="25104"/>
        <n v="33626"/>
        <n v="41928"/>
        <n v="33379"/>
        <n v="25359"/>
        <n v="29431"/>
        <n v="39847"/>
        <n v="47108"/>
        <n v="7510"/>
        <n v="17364"/>
        <n v="33608"/>
        <n v="24977"/>
        <n v="18896"/>
        <n v="36938"/>
        <n v="28809"/>
        <n v="1414"/>
        <n v="48223"/>
        <n v="40072"/>
        <n v="7462"/>
        <n v="31982"/>
        <n v="49762"/>
        <n v="10131"/>
        <n v="13317"/>
        <n v="35689"/>
        <n v="12205"/>
        <n v="44288"/>
        <n v="4046"/>
        <n v="28681"/>
        <n v="26554"/>
        <n v="40679"/>
        <n v="32099"/>
        <n v="26035"/>
        <n v="10700"/>
        <n v="46519"/>
        <n v="48409"/>
        <n v="46716"/>
        <n v="36202"/>
        <n v="10936"/>
        <n v="32543"/>
        <n v="16785"/>
        <n v="13494"/>
        <n v="39804"/>
      </sharedItems>
    </cacheField>
    <cacheField name="Sales" numFmtId="0">
      <sharedItems containsSemiMixedTypes="0" containsString="0" containsNumber="1" containsInteger="1" minValue="587" maxValue="495760" count="1986">
        <n v="67026"/>
        <n v="28634"/>
        <n v="173344"/>
        <n v="73080"/>
        <n v="241305"/>
        <n v="118548"/>
        <n v="114779"/>
        <n v="231888"/>
        <n v="88795"/>
        <n v="327440"/>
        <n v="289072"/>
        <n v="248250"/>
        <n v="50666"/>
        <n v="34360"/>
        <n v="345611"/>
        <n v="18153"/>
        <n v="101238"/>
        <n v="185972"/>
        <n v="9040"/>
        <n v="30864"/>
        <n v="209699"/>
        <n v="359600"/>
        <n v="73630"/>
        <n v="385160"/>
        <n v="73598"/>
        <n v="177308"/>
        <n v="66171"/>
        <n v="89118"/>
        <n v="188008"/>
        <n v="90070"/>
        <n v="207900"/>
        <n v="26622"/>
        <n v="142056"/>
        <n v="147455"/>
        <n v="165660"/>
        <n v="13088"/>
        <n v="254499"/>
        <n v="218400"/>
        <n v="168849"/>
        <n v="153976"/>
        <n v="212268"/>
        <n v="40883"/>
        <n v="145625"/>
        <n v="151885"/>
        <n v="495250"/>
        <n v="194593"/>
        <n v="57554"/>
        <n v="15606"/>
        <n v="453890"/>
        <n v="319352"/>
        <n v="165730"/>
        <n v="16975"/>
        <n v="203637"/>
        <n v="220788"/>
        <n v="118308"/>
        <n v="26033"/>
        <n v="204421"/>
        <n v="331366"/>
        <n v="61606"/>
        <n v="136860"/>
        <n v="92448"/>
        <n v="442854"/>
        <n v="80212"/>
        <n v="238035"/>
        <n v="34314"/>
        <n v="115556"/>
        <n v="37268"/>
        <n v="25580"/>
        <n v="89067"/>
        <n v="85722"/>
        <n v="10796"/>
        <n v="230010"/>
        <n v="88660"/>
        <n v="19176"/>
        <n v="72328"/>
        <n v="141928"/>
        <n v="310536"/>
        <n v="307146"/>
        <n v="124135"/>
        <n v="288576"/>
        <n v="34491"/>
        <n v="55080"/>
        <n v="390696"/>
        <n v="70569"/>
        <n v="135080"/>
        <n v="382540"/>
        <n v="96044"/>
        <n v="155215"/>
        <n v="29900"/>
        <n v="48073"/>
        <n v="123242"/>
        <n v="60810"/>
        <n v="131190"/>
        <n v="18501"/>
        <n v="65810"/>
        <n v="16344"/>
        <n v="41140"/>
        <n v="108948"/>
        <n v="40060"/>
        <n v="203700"/>
        <n v="334344"/>
        <n v="13281"/>
        <n v="56506"/>
        <n v="128850"/>
        <n v="346390"/>
        <n v="21816"/>
        <n v="39528"/>
        <n v="243310"/>
        <n v="42989"/>
        <n v="222615"/>
        <n v="229695"/>
        <n v="140156"/>
        <n v="112170"/>
        <n v="173908"/>
        <n v="236112"/>
        <n v="52710"/>
        <n v="112256"/>
        <n v="71500"/>
        <n v="69884"/>
        <n v="17020"/>
        <n v="257508"/>
        <n v="35220"/>
        <n v="199445"/>
        <n v="76016"/>
        <n v="5677"/>
        <n v="462340"/>
        <n v="228084"/>
        <n v="126363"/>
        <n v="31344"/>
        <n v="87280"/>
        <n v="159399"/>
        <n v="389205"/>
        <n v="232512"/>
        <n v="24578"/>
        <n v="207216"/>
        <n v="88200"/>
        <n v="152510"/>
        <n v="175388"/>
        <n v="34842"/>
        <n v="218815"/>
        <n v="122330"/>
        <n v="202086"/>
        <n v="37238"/>
        <n v="204900"/>
        <n v="201515"/>
        <n v="108752"/>
        <n v="72705"/>
        <n v="7530"/>
        <n v="78483"/>
        <n v="127204"/>
        <n v="29730"/>
        <n v="16870"/>
        <n v="484600"/>
        <n v="153600"/>
        <n v="79706"/>
        <n v="490900"/>
        <n v="2460"/>
        <n v="150100"/>
        <n v="470530"/>
        <n v="349011"/>
        <n v="25798"/>
        <n v="263529"/>
        <n v="21319"/>
        <n v="99900"/>
        <n v="147042"/>
        <n v="31258"/>
        <n v="12836"/>
        <n v="307601"/>
        <n v="60612"/>
        <n v="363159"/>
        <n v="246888"/>
        <n v="127680"/>
        <n v="443871"/>
        <n v="72672"/>
        <n v="186340"/>
        <n v="16158"/>
        <n v="68856"/>
        <n v="8270"/>
        <n v="86586"/>
        <n v="35864"/>
        <n v="30580"/>
        <n v="238600"/>
        <n v="129480"/>
        <n v="245070"/>
        <n v="208194"/>
        <n v="31467"/>
        <n v="98934"/>
        <n v="131560"/>
        <n v="93846"/>
        <n v="139206"/>
        <n v="160047"/>
        <n v="32620"/>
        <n v="10338"/>
        <n v="122635"/>
        <n v="84192"/>
        <n v="193108"/>
        <n v="65326"/>
        <n v="131124"/>
        <n v="29770"/>
        <n v="114732"/>
        <n v="70476"/>
        <n v="149634"/>
        <n v="279660"/>
        <n v="372681"/>
        <n v="179464"/>
        <n v="198130"/>
        <n v="303320"/>
        <n v="29284"/>
        <n v="44716"/>
        <n v="25416"/>
        <n v="32374"/>
        <n v="25104"/>
        <n v="14280"/>
        <n v="62840"/>
        <n v="171632"/>
        <n v="22211"/>
        <n v="97336"/>
        <n v="27279"/>
        <n v="413910"/>
        <n v="79128"/>
        <n v="94572"/>
        <n v="38693"/>
        <n v="227400"/>
        <n v="328320"/>
        <n v="191112"/>
        <n v="19875"/>
        <n v="219078"/>
        <n v="286160"/>
        <n v="40860"/>
        <n v="179620"/>
        <n v="134470"/>
        <n v="221640"/>
        <n v="134552"/>
        <n v="140265"/>
        <n v="36419"/>
        <n v="319277"/>
        <n v="1262"/>
        <n v="495300"/>
        <n v="349128"/>
        <n v="78939"/>
        <n v="49394"/>
        <n v="18057"/>
        <n v="337225"/>
        <n v="96300"/>
        <n v="232158"/>
        <n v="29902"/>
        <n v="191268"/>
        <n v="213760"/>
        <n v="196848"/>
        <n v="100140"/>
        <n v="238760"/>
        <n v="168826"/>
        <n v="32163"/>
        <n v="96714"/>
        <n v="57156"/>
        <n v="417627"/>
        <n v="145404"/>
        <n v="10984"/>
        <n v="4560"/>
        <n v="36825"/>
        <n v="194388"/>
        <n v="219330"/>
        <n v="71796"/>
        <n v="291846"/>
        <n v="416889"/>
        <n v="16952"/>
        <n v="131785"/>
        <n v="149140"/>
        <n v="27621"/>
        <n v="89720"/>
        <n v="99699"/>
        <n v="49301"/>
        <n v="70236"/>
        <n v="57528"/>
        <n v="217314"/>
        <n v="61560"/>
        <n v="236277"/>
        <n v="192699"/>
        <n v="31142"/>
        <n v="148752"/>
        <n v="148552"/>
        <n v="92516"/>
        <n v="83583"/>
        <n v="233480"/>
        <n v="187308"/>
        <n v="42438"/>
        <n v="359145"/>
        <n v="27323"/>
        <n v="284886"/>
        <n v="284250"/>
        <n v="75300"/>
        <n v="161305"/>
        <n v="332864"/>
        <n v="84402"/>
        <n v="166446"/>
        <n v="48440"/>
        <n v="167315"/>
        <n v="424610"/>
        <n v="210609"/>
        <n v="40743"/>
        <n v="61749"/>
        <n v="9263"/>
        <n v="56142"/>
        <n v="268080"/>
        <n v="476090"/>
        <n v="10164"/>
        <n v="143340"/>
        <n v="29832"/>
        <n v="220140"/>
        <n v="52526"/>
        <n v="95340"/>
        <n v="27492"/>
        <n v="689"/>
        <n v="148095"/>
        <n v="11864"/>
        <n v="370410"/>
        <n v="215019"/>
        <n v="257334"/>
        <n v="46880"/>
        <n v="283880"/>
        <n v="32793"/>
        <n v="63012"/>
        <n v="10590"/>
        <n v="33414"/>
        <n v="32476"/>
        <n v="56810"/>
        <n v="77706"/>
        <n v="38998"/>
        <n v="56784"/>
        <n v="260390"/>
        <n v="20087"/>
        <n v="1444"/>
        <n v="213600"/>
        <n v="235080"/>
        <n v="148308"/>
        <n v="34850"/>
        <n v="75972"/>
        <n v="471220"/>
        <n v="351232"/>
        <n v="73940"/>
        <n v="32780"/>
        <n v="231768"/>
        <n v="113844"/>
        <n v="42036"/>
        <n v="30880"/>
        <n v="26290"/>
        <n v="274600"/>
        <n v="207488"/>
        <n v="15644"/>
        <n v="19900"/>
        <n v="43320"/>
        <n v="74868"/>
        <n v="34638"/>
        <n v="262824"/>
        <n v="42270"/>
        <n v="224084"/>
        <n v="16408"/>
        <n v="30741"/>
        <n v="33587"/>
        <n v="56294"/>
        <n v="148077"/>
        <n v="189987"/>
        <n v="269766"/>
        <n v="88040"/>
        <n v="33615"/>
        <n v="42768"/>
        <n v="13664"/>
        <n v="273376"/>
        <n v="61425"/>
        <n v="5033"/>
        <n v="240066"/>
        <n v="40392"/>
        <n v="260460"/>
        <n v="54868"/>
        <n v="145368"/>
        <n v="15604"/>
        <n v="285540"/>
        <n v="168525"/>
        <n v="209688"/>
        <n v="24444"/>
        <n v="74000"/>
        <n v="38760"/>
        <n v="92116"/>
        <n v="316143"/>
        <n v="60651"/>
        <n v="7128"/>
        <n v="246312"/>
        <n v="205002"/>
        <n v="111928"/>
        <n v="45178"/>
        <n v="20686"/>
        <n v="155232"/>
        <n v="349770"/>
        <n v="222417"/>
        <n v="131706"/>
        <n v="295967"/>
        <n v="44188"/>
        <n v="435942"/>
        <n v="1806"/>
        <n v="3594"/>
        <n v="177168"/>
        <n v="86670"/>
        <n v="212555"/>
        <n v="191030"/>
        <n v="154680"/>
        <n v="77160"/>
        <n v="17385"/>
        <n v="69516"/>
        <n v="105429"/>
        <n v="137291"/>
        <n v="145875"/>
        <n v="1522"/>
        <n v="308035"/>
        <n v="189150"/>
        <n v="309900"/>
        <n v="260932"/>
        <n v="18070"/>
        <n v="3574"/>
        <n v="351696"/>
        <n v="39236"/>
        <n v="76554"/>
        <n v="3112"/>
        <n v="61748"/>
        <n v="189172"/>
        <n v="65262"/>
        <n v="243360"/>
        <n v="108216"/>
        <n v="158210"/>
        <n v="342290"/>
        <n v="220010"/>
        <n v="65181"/>
        <n v="88821"/>
        <n v="644"/>
        <n v="24725"/>
        <n v="89386"/>
        <n v="32490"/>
        <n v="310002"/>
        <n v="117160"/>
        <n v="207243"/>
        <n v="275224"/>
        <n v="54942"/>
        <n v="56670"/>
        <n v="240674"/>
        <n v="162756"/>
        <n v="13410"/>
        <n v="135555"/>
        <n v="15518"/>
        <n v="374096"/>
        <n v="211615"/>
        <n v="85834"/>
        <n v="113560"/>
        <n v="137332"/>
        <n v="9328"/>
        <n v="68112"/>
        <n v="8304"/>
        <n v="146112"/>
        <n v="1370"/>
        <n v="7773"/>
        <n v="118737"/>
        <n v="47050"/>
        <n v="76536"/>
        <n v="72972"/>
        <n v="177685"/>
        <n v="297087"/>
        <n v="66710"/>
        <n v="41298"/>
        <n v="356440"/>
        <n v="260640"/>
        <n v="89208"/>
        <n v="349974"/>
        <n v="9012"/>
        <n v="31371"/>
        <n v="58084"/>
        <n v="150435"/>
        <n v="254616"/>
        <n v="240320"/>
        <n v="495760"/>
        <n v="86217"/>
        <n v="38851"/>
        <n v="137304"/>
        <n v="27728"/>
        <n v="32907"/>
        <n v="91904"/>
        <n v="155045"/>
        <n v="198672"/>
        <n v="301224"/>
        <n v="8360"/>
        <n v="57657"/>
        <n v="198748"/>
        <n v="124335"/>
        <n v="318006"/>
        <n v="32496"/>
        <n v="238032"/>
        <n v="8065"/>
        <n v="474090"/>
        <n v="353040"/>
        <n v="29325"/>
        <n v="164255"/>
        <n v="50764"/>
        <n v="19739"/>
        <n v="21130"/>
        <n v="149204"/>
        <n v="491500"/>
        <n v="5958"/>
        <n v="301320"/>
        <n v="253116"/>
        <n v="244230"/>
        <n v="9885"/>
        <n v="245450"/>
        <n v="67080"/>
        <n v="147950"/>
        <n v="132822"/>
        <n v="239515"/>
        <n v="195000"/>
        <n v="21188"/>
        <n v="248633"/>
        <n v="104028"/>
        <n v="144040"/>
        <n v="183504"/>
        <n v="304048"/>
        <n v="3458"/>
        <n v="120924"/>
        <n v="367119"/>
        <n v="10482"/>
        <n v="85688"/>
        <n v="184440"/>
        <n v="18751"/>
        <n v="393832"/>
        <n v="89854"/>
        <n v="368710"/>
        <n v="199750"/>
        <n v="13380"/>
        <n v="149289"/>
        <n v="58401"/>
        <n v="69960"/>
        <n v="445630"/>
        <n v="151080"/>
        <n v="204552"/>
        <n v="15861"/>
        <n v="44370"/>
        <n v="224720"/>
        <n v="50330"/>
        <n v="35022"/>
        <n v="51315"/>
        <n v="50138"/>
        <n v="123741"/>
        <n v="41009"/>
        <n v="30756"/>
        <n v="460230"/>
        <n v="187584"/>
        <n v="134151"/>
        <n v="7836"/>
        <n v="27035"/>
        <n v="196273"/>
        <n v="62654"/>
        <n v="232235"/>
        <n v="226604"/>
        <n v="36834"/>
        <n v="165592"/>
        <n v="166016"/>
        <n v="338275"/>
        <n v="15986"/>
        <n v="324786"/>
        <n v="195624"/>
        <n v="132210"/>
        <n v="19026"/>
        <n v="153050"/>
        <n v="37639"/>
        <n v="135114"/>
        <n v="14460"/>
        <n v="46832"/>
        <n v="80067"/>
        <n v="396130"/>
        <n v="116960"/>
        <n v="29601"/>
        <n v="269346"/>
        <n v="185670"/>
        <n v="203238"/>
        <n v="40929"/>
        <n v="1906"/>
        <n v="211370"/>
        <n v="1962"/>
        <n v="304400"/>
        <n v="82602"/>
        <n v="106038"/>
        <n v="264591"/>
        <n v="25006"/>
        <n v="69770"/>
        <n v="152592"/>
        <n v="73262"/>
        <n v="52124"/>
        <n v="126768"/>
        <n v="9643"/>
        <n v="206941"/>
        <n v="5319"/>
        <n v="299610"/>
        <n v="28363"/>
        <n v="10628"/>
        <n v="39381"/>
        <n v="44308"/>
        <n v="37409"/>
        <n v="75813"/>
        <n v="234585"/>
        <n v="70268"/>
        <n v="87003"/>
        <n v="397510"/>
        <n v="282620"/>
        <n v="7464"/>
        <n v="332328"/>
        <n v="129100"/>
        <n v="28728"/>
        <n v="152091"/>
        <n v="94095"/>
        <n v="133674"/>
        <n v="15560"/>
        <n v="131790"/>
        <n v="70448"/>
        <n v="50850"/>
        <n v="495330"/>
        <n v="219280"/>
        <n v="38780"/>
        <n v="9400"/>
        <n v="29502"/>
        <n v="152640"/>
        <n v="99360"/>
        <n v="32985"/>
        <n v="12374"/>
        <n v="74676"/>
        <n v="43350"/>
        <n v="139232"/>
        <n v="28080"/>
        <n v="64566"/>
        <n v="125994"/>
        <n v="88075"/>
        <n v="56050"/>
        <n v="182022"/>
        <n v="161544"/>
        <n v="87752"/>
        <n v="17578"/>
        <n v="111267"/>
        <n v="251424"/>
        <n v="19122"/>
        <n v="257552"/>
        <n v="71830"/>
        <n v="120285"/>
        <n v="57166"/>
        <n v="57692"/>
        <n v="5917"/>
        <n v="148794"/>
        <n v="194425"/>
        <n v="240807"/>
        <n v="117408"/>
        <n v="9315"/>
        <n v="88722"/>
        <n v="120888"/>
        <n v="20552"/>
        <n v="289881"/>
        <n v="184772"/>
        <n v="4860"/>
        <n v="287735"/>
        <n v="51624"/>
        <n v="21160"/>
        <n v="23904"/>
        <n v="201411"/>
        <n v="204756"/>
        <n v="189616"/>
        <n v="174445"/>
        <n v="117483"/>
        <n v="238764"/>
        <n v="142737"/>
        <n v="10800"/>
        <n v="14645"/>
        <n v="242064"/>
        <n v="155995"/>
        <n v="27184"/>
        <n v="269826"/>
        <n v="93724"/>
        <n v="218076"/>
        <n v="144730"/>
        <n v="6463"/>
        <n v="418950"/>
        <n v="388080"/>
        <n v="450180"/>
        <n v="24340"/>
        <n v="37130"/>
        <n v="6982"/>
        <n v="146510"/>
        <n v="28144"/>
        <n v="37365"/>
        <n v="45318"/>
        <n v="176712"/>
        <n v="100976"/>
        <n v="82278"/>
        <n v="6438"/>
        <n v="174032"/>
        <n v="150780"/>
        <n v="270264"/>
        <n v="236873"/>
        <n v="39998"/>
        <n v="270414"/>
        <n v="103460"/>
        <n v="102804"/>
        <n v="238490"/>
        <n v="10110"/>
        <n v="285156"/>
        <n v="70345"/>
        <n v="39896"/>
        <n v="382832"/>
        <n v="54918"/>
        <n v="9982"/>
        <n v="16674"/>
        <n v="11565"/>
        <n v="8784"/>
        <n v="76322"/>
        <n v="376389"/>
        <n v="79828"/>
        <n v="198768"/>
        <n v="111213"/>
        <n v="107829"/>
        <n v="304479"/>
        <n v="31952"/>
        <n v="4925"/>
        <n v="145712"/>
        <n v="329910"/>
        <n v="33842"/>
        <n v="399762"/>
        <n v="199764"/>
        <n v="211329"/>
        <n v="77250"/>
        <n v="21192"/>
        <n v="13540"/>
        <n v="68337"/>
        <n v="25982"/>
        <n v="383576"/>
        <n v="119888"/>
        <n v="184248"/>
        <n v="197252"/>
        <n v="109697"/>
        <n v="7018"/>
        <n v="478070"/>
        <n v="103195"/>
        <n v="102012"/>
        <n v="185436"/>
        <n v="159000"/>
        <n v="443550"/>
        <n v="104358"/>
        <n v="84033"/>
        <n v="68172"/>
        <n v="252300"/>
        <n v="33103"/>
        <n v="195342"/>
        <n v="53360"/>
        <n v="46182"/>
        <n v="130611"/>
        <n v="31478"/>
        <n v="182940"/>
        <n v="41764"/>
        <n v="8983"/>
        <n v="62112"/>
        <n v="116781"/>
        <n v="55245"/>
        <n v="92306"/>
        <n v="33681"/>
        <n v="175325"/>
        <n v="231552"/>
        <n v="153880"/>
        <n v="10476"/>
        <n v="153524"/>
        <n v="23880"/>
        <n v="19985"/>
        <n v="343448"/>
        <n v="161470"/>
        <n v="83515"/>
        <n v="482430"/>
        <n v="20718"/>
        <n v="15330"/>
        <n v="148134"/>
        <n v="46042"/>
        <n v="101810"/>
        <n v="51548"/>
        <n v="91300"/>
        <n v="37463"/>
        <n v="265846"/>
        <n v="104889"/>
        <n v="61677"/>
        <n v="143184"/>
        <n v="137907"/>
        <n v="80864"/>
        <n v="83100"/>
        <n v="32298"/>
        <n v="37926"/>
        <n v="2457"/>
        <n v="81844"/>
        <n v="241620"/>
        <n v="159684"/>
        <n v="289860"/>
        <n v="23128"/>
        <n v="392460"/>
        <n v="106880"/>
        <n v="7476"/>
        <n v="151736"/>
        <n v="138597"/>
        <n v="4879"/>
        <n v="222330"/>
        <n v="65331"/>
        <n v="192756"/>
        <n v="423280"/>
        <n v="38703"/>
        <n v="85401"/>
        <n v="75826"/>
        <n v="5981"/>
        <n v="227480"/>
        <n v="193383"/>
        <n v="240558"/>
        <n v="63945"/>
        <n v="32370"/>
        <n v="37208"/>
        <n v="44811"/>
        <n v="260152"/>
        <n v="366670"/>
        <n v="367902"/>
        <n v="136804"/>
        <n v="48932"/>
        <n v="161584"/>
        <n v="126030"/>
        <n v="200120"/>
        <n v="151640"/>
        <n v="38372"/>
        <n v="11587"/>
        <n v="84170"/>
        <n v="12860"/>
        <n v="393344"/>
        <n v="177261"/>
        <n v="1258"/>
        <n v="76335"/>
        <n v="119925"/>
        <n v="321849"/>
        <n v="358120"/>
        <n v="293870"/>
        <n v="236220"/>
        <n v="313733"/>
        <n v="212420"/>
        <n v="399852"/>
        <n v="158712"/>
        <n v="129980"/>
        <n v="87744"/>
        <n v="115216"/>
        <n v="171410"/>
        <n v="381609"/>
        <n v="140343"/>
        <n v="174195"/>
        <n v="245656"/>
        <n v="202356"/>
        <n v="91242"/>
        <n v="112503"/>
        <n v="39933"/>
        <n v="179370"/>
        <n v="32525"/>
        <n v="235160"/>
        <n v="202560"/>
        <n v="221550"/>
        <n v="280312"/>
        <n v="1739"/>
        <n v="166905"/>
        <n v="206748"/>
        <n v="324870"/>
        <n v="182980"/>
        <n v="436970"/>
        <n v="219304"/>
        <n v="126666"/>
        <n v="44138"/>
        <n v="365968"/>
        <n v="257646"/>
        <n v="15072"/>
        <n v="230556"/>
        <n v="22266"/>
        <n v="34578"/>
        <n v="29327"/>
        <n v="213906"/>
        <n v="7203"/>
        <n v="58680"/>
        <n v="258550"/>
        <n v="31309"/>
        <n v="171868"/>
        <n v="138560"/>
        <n v="39385"/>
        <n v="76716"/>
        <n v="8381"/>
        <n v="324240"/>
        <n v="80944"/>
        <n v="216240"/>
        <n v="57940"/>
        <n v="44529"/>
        <n v="21888"/>
        <n v="34856"/>
        <n v="36445"/>
        <n v="130686"/>
        <n v="80945"/>
        <n v="120870"/>
        <n v="119346"/>
        <n v="153965"/>
        <n v="64830"/>
        <n v="64071"/>
        <n v="207834"/>
        <n v="180424"/>
        <n v="1557"/>
        <n v="16784"/>
        <n v="84048"/>
        <n v="148914"/>
        <n v="124548"/>
        <n v="138858"/>
        <n v="147222"/>
        <n v="267078"/>
        <n v="285271"/>
        <n v="147287"/>
        <n v="260778"/>
        <n v="43371"/>
        <n v="70659"/>
        <n v="95217"/>
        <n v="93306"/>
        <n v="352860"/>
        <n v="20845"/>
        <n v="170730"/>
        <n v="24470"/>
        <n v="93488"/>
        <n v="487870"/>
        <n v="64124"/>
        <n v="343755"/>
        <n v="50605"/>
        <n v="27669"/>
        <n v="211830"/>
        <n v="128448"/>
        <n v="395532"/>
        <n v="83304"/>
        <n v="124365"/>
        <n v="45095"/>
        <n v="186570"/>
        <n v="439722"/>
        <n v="188488"/>
        <n v="204810"/>
        <n v="390834"/>
        <n v="149440"/>
        <n v="141435"/>
        <n v="97450"/>
        <n v="400968"/>
        <n v="164574"/>
        <n v="16262"/>
        <n v="158032"/>
        <n v="220400"/>
        <n v="246055"/>
        <n v="57910"/>
        <n v="260541"/>
        <n v="170180"/>
        <n v="265040"/>
        <n v="173580"/>
        <n v="42476"/>
        <n v="210582"/>
        <n v="34626"/>
        <n v="184569"/>
        <n v="128804"/>
        <n v="111951"/>
        <n v="99814"/>
        <n v="104741"/>
        <n v="229473"/>
        <n v="30774"/>
        <n v="58833"/>
        <n v="35618"/>
        <n v="112532"/>
        <n v="97920"/>
        <n v="96528"/>
        <n v="83156"/>
        <n v="93486"/>
        <n v="223330"/>
        <n v="23304"/>
        <n v="10895"/>
        <n v="1761"/>
        <n v="94245"/>
        <n v="114984"/>
        <n v="141940"/>
        <n v="4208"/>
        <n v="248440"/>
        <n v="88263"/>
        <n v="4889"/>
        <n v="4420"/>
        <n v="56292"/>
        <n v="106170"/>
        <n v="194036"/>
        <n v="429340"/>
        <n v="21980"/>
        <n v="54848"/>
        <n v="185888"/>
        <n v="288180"/>
        <n v="212427"/>
        <n v="443358"/>
        <n v="141296"/>
        <n v="266958"/>
        <n v="134165"/>
        <n v="173935"/>
        <n v="35317"/>
        <n v="205254"/>
        <n v="87132"/>
        <n v="142530"/>
        <n v="28416"/>
        <n v="52872"/>
        <n v="137493"/>
        <n v="227574"/>
        <n v="186688"/>
        <n v="24168"/>
        <n v="273960"/>
        <n v="10194"/>
        <n v="29178"/>
        <n v="67868"/>
        <n v="47988"/>
        <n v="226790"/>
        <n v="112712"/>
        <n v="116450"/>
        <n v="315840"/>
        <n v="17043"/>
        <n v="216272"/>
        <n v="49860"/>
        <n v="99981"/>
        <n v="157716"/>
        <n v="219620"/>
        <n v="194065"/>
        <n v="88120"/>
        <n v="134204"/>
        <n v="119424"/>
        <n v="305560"/>
        <n v="14432"/>
        <n v="171248"/>
        <n v="151479"/>
        <n v="77607"/>
        <n v="12636"/>
        <n v="18950"/>
        <n v="31944"/>
        <n v="16201"/>
        <n v="118044"/>
        <n v="51370"/>
        <n v="115115"/>
        <n v="446930"/>
        <n v="188288"/>
        <n v="149421"/>
        <n v="160020"/>
        <n v="212805"/>
        <n v="25479"/>
        <n v="124432"/>
        <n v="264280"/>
        <n v="3848"/>
        <n v="23688"/>
        <n v="25360"/>
        <n v="194710"/>
        <n v="290832"/>
        <n v="159415"/>
        <n v="249032"/>
        <n v="26533"/>
        <n v="268688"/>
        <n v="184268"/>
        <n v="144420"/>
        <n v="59646"/>
        <n v="396920"/>
        <n v="84390"/>
        <n v="88938"/>
        <n v="158295"/>
        <n v="5901"/>
        <n v="86720"/>
        <n v="200896"/>
        <n v="114444"/>
        <n v="304047"/>
        <n v="35209"/>
        <n v="383072"/>
        <n v="109395"/>
        <n v="393620"/>
        <n v="216480"/>
        <n v="139047"/>
        <n v="28383"/>
        <n v="230816"/>
        <n v="38331"/>
        <n v="70641"/>
        <n v="58160"/>
        <n v="345640"/>
        <n v="53632"/>
        <n v="13207"/>
        <n v="121884"/>
        <n v="63072"/>
        <n v="137055"/>
        <n v="175992"/>
        <n v="87031"/>
        <n v="21220"/>
        <n v="42690"/>
        <n v="18704"/>
        <n v="431030"/>
        <n v="261720"/>
        <n v="335997"/>
        <n v="37072"/>
        <n v="17807"/>
        <n v="95481"/>
        <n v="338816"/>
        <n v="114840"/>
        <n v="443190"/>
        <n v="207350"/>
        <n v="260024"/>
        <n v="78926"/>
        <n v="74645"/>
        <n v="424630"/>
        <n v="126340"/>
        <n v="112448"/>
        <n v="41082"/>
        <n v="248145"/>
        <n v="358038"/>
        <n v="79266"/>
        <n v="204050"/>
        <n v="484410"/>
        <n v="36311"/>
        <n v="342230"/>
        <n v="163665"/>
        <n v="122241"/>
        <n v="297657"/>
        <n v="4646"/>
        <n v="129186"/>
        <n v="29561"/>
        <n v="221160"/>
        <n v="9072"/>
        <n v="9204"/>
        <n v="112768"/>
        <n v="143288"/>
        <n v="204510"/>
        <n v="17682"/>
        <n v="54346"/>
        <n v="16175"/>
        <n v="289080"/>
        <n v="192984"/>
        <n v="63088"/>
        <n v="16212"/>
        <n v="140820"/>
        <n v="68735"/>
        <n v="28782"/>
        <n v="23616"/>
        <n v="57222"/>
        <n v="27896"/>
        <n v="70756"/>
        <n v="175680"/>
        <n v="68696"/>
        <n v="26650"/>
        <n v="5205"/>
        <n v="52712"/>
        <n v="77786"/>
        <n v="491220"/>
        <n v="15663"/>
        <n v="95394"/>
        <n v="141228"/>
        <n v="37586"/>
        <n v="131180"/>
        <n v="175224"/>
        <n v="216610"/>
        <n v="171400"/>
        <n v="91040"/>
        <n v="29102"/>
        <n v="130720"/>
        <n v="310716"/>
        <n v="145605"/>
        <n v="80814"/>
        <n v="170992"/>
        <n v="156665"/>
        <n v="123327"/>
        <n v="480710"/>
        <n v="8460"/>
        <n v="211545"/>
        <n v="133820"/>
        <n v="43164"/>
        <n v="5103"/>
        <n v="153248"/>
        <n v="49176"/>
        <n v="16265"/>
        <n v="299232"/>
        <n v="140016"/>
        <n v="105960"/>
        <n v="4326"/>
        <n v="96498"/>
        <n v="157300"/>
        <n v="84190"/>
        <n v="443450"/>
        <n v="43756"/>
        <n v="42058"/>
        <n v="50892"/>
        <n v="51760"/>
        <n v="105868"/>
        <n v="188450"/>
        <n v="50440"/>
        <n v="44434"/>
        <n v="199656"/>
        <n v="61000"/>
        <n v="52512"/>
        <n v="71115"/>
        <n v="10096"/>
        <n v="464330"/>
        <n v="89716"/>
        <n v="199941"/>
        <n v="37144"/>
        <n v="41432"/>
        <n v="36328"/>
        <n v="243198"/>
        <n v="246480"/>
        <n v="3628"/>
        <n v="198624"/>
        <n v="4280"/>
        <n v="62664"/>
        <n v="88908"/>
        <n v="96630"/>
        <n v="191480"/>
        <n v="12964"/>
        <n v="132664"/>
        <n v="381096"/>
        <n v="163360"/>
        <n v="96685"/>
        <n v="224430"/>
        <n v="19368"/>
        <n v="295092"/>
        <n v="307080"/>
        <n v="69522"/>
        <n v="80344"/>
        <n v="146256"/>
        <n v="432580"/>
        <n v="181864"/>
        <n v="184536"/>
        <n v="180205"/>
        <n v="21645"/>
        <n v="48494"/>
        <n v="18650"/>
        <n v="33940"/>
        <n v="73890"/>
        <n v="42816"/>
        <n v="239455"/>
        <n v="22735"/>
        <n v="146241"/>
        <n v="114488"/>
        <n v="372730"/>
        <n v="324270"/>
        <n v="24430"/>
        <n v="11502"/>
        <n v="35852"/>
        <n v="161192"/>
        <n v="393093"/>
        <n v="27770"/>
        <n v="140406"/>
        <n v="49515"/>
        <n v="103206"/>
        <n v="43974"/>
        <n v="204830"/>
        <n v="231306"/>
        <n v="101094"/>
        <n v="399720"/>
        <n v="42540"/>
        <n v="39310"/>
        <n v="30437"/>
        <n v="144665"/>
        <n v="49112"/>
        <n v="107556"/>
        <n v="254421"/>
        <n v="305472"/>
        <n v="29529"/>
        <n v="266985"/>
        <n v="225762"/>
        <n v="54340"/>
        <n v="39684"/>
        <n v="125814"/>
        <n v="35134"/>
        <n v="19776"/>
        <n v="46310"/>
        <n v="248950"/>
        <n v="110511"/>
        <n v="101227"/>
        <n v="59274"/>
        <n v="391512"/>
        <n v="330029"/>
        <n v="152205"/>
        <n v="83245"/>
        <n v="286410"/>
        <n v="1119"/>
        <n v="105536"/>
        <n v="4830"/>
        <n v="90954"/>
        <n v="190860"/>
        <n v="115230"/>
        <n v="323440"/>
        <n v="108252"/>
        <n v="487270"/>
        <n v="64920"/>
        <n v="73808"/>
        <n v="31100"/>
        <n v="49836"/>
        <n v="40773"/>
        <n v="391610"/>
        <n v="231056"/>
        <n v="94335"/>
        <n v="21863"/>
        <n v="11515"/>
        <n v="27471"/>
        <n v="106424"/>
        <n v="77080"/>
        <n v="171404"/>
        <n v="130977"/>
        <n v="70700"/>
        <n v="13020"/>
        <n v="426888"/>
        <n v="60128"/>
        <n v="88890"/>
        <n v="252096"/>
        <n v="51808"/>
        <n v="52788"/>
        <n v="68602"/>
        <n v="52794"/>
        <n v="270996"/>
        <n v="43505"/>
        <n v="184530"/>
        <n v="70290"/>
        <n v="298116"/>
        <n v="175188"/>
        <n v="113841"/>
        <n v="65970"/>
        <n v="216864"/>
        <n v="81948"/>
        <n v="145476"/>
        <n v="32258"/>
        <n v="40212"/>
        <n v="151912"/>
        <n v="312676"/>
        <n v="587"/>
        <n v="96887"/>
        <n v="125555"/>
        <n v="44639"/>
        <n v="338130"/>
        <n v="49704"/>
        <n v="40911"/>
        <n v="160712"/>
        <n v="66150"/>
        <n v="132840"/>
        <n v="263874"/>
        <n v="113802"/>
        <n v="163998"/>
        <n v="155604"/>
        <n v="444010"/>
        <n v="29738"/>
        <n v="191886"/>
        <n v="6780"/>
        <n v="12036"/>
        <n v="12498"/>
        <n v="40572"/>
        <n v="104529"/>
        <n v="84745"/>
        <n v="28548"/>
        <n v="107898"/>
        <n v="117290"/>
        <n v="295821"/>
        <n v="222846"/>
        <n v="180750"/>
        <n v="135752"/>
        <n v="287202"/>
        <n v="170184"/>
        <n v="99925"/>
        <n v="149802"/>
        <n v="43190"/>
        <n v="10170"/>
        <n v="20547"/>
        <n v="307256"/>
        <n v="332577"/>
        <n v="45486"/>
        <n v="20363"/>
        <n v="66490"/>
        <n v="282905"/>
        <n v="119696"/>
        <n v="399510"/>
        <n v="414010"/>
        <n v="72878"/>
        <n v="238284"/>
        <n v="241272"/>
        <n v="89730"/>
        <n v="72247"/>
        <n v="15530"/>
        <n v="92890"/>
        <n v="137931"/>
        <n v="175422"/>
        <n v="102942"/>
        <n v="10842"/>
        <n v="194090"/>
        <n v="277333"/>
        <n v="263800"/>
        <n v="138285"/>
        <n v="35030"/>
        <n v="28555"/>
        <n v="266336"/>
        <n v="380248"/>
        <n v="126280"/>
        <n v="9153"/>
        <n v="104104"/>
        <n v="234507"/>
        <n v="87414"/>
        <n v="111604"/>
        <n v="2067"/>
        <n v="188195"/>
        <n v="29698"/>
        <n v="87756"/>
        <n v="269339"/>
        <n v="27188"/>
        <n v="100953"/>
        <n v="335260"/>
        <n v="83163"/>
        <n v="18894"/>
        <n v="10221"/>
        <n v="43302"/>
        <n v="6776"/>
        <n v="244785"/>
        <n v="11916"/>
        <n v="310436"/>
        <n v="46720"/>
        <n v="153230"/>
        <n v="98432"/>
        <n v="979"/>
        <n v="21539"/>
        <n v="381088"/>
        <n v="280290"/>
        <n v="207825"/>
        <n v="95466"/>
        <n v="443810"/>
        <n v="234143"/>
        <n v="92806"/>
        <n v="36392"/>
        <n v="28476"/>
        <n v="22160"/>
        <n v="37887"/>
        <n v="234108"/>
        <n v="353430"/>
        <n v="157155"/>
        <n v="110622"/>
        <n v="127773"/>
        <n v="118375"/>
        <n v="232488"/>
        <n v="41046"/>
        <n v="2265"/>
        <n v="136016"/>
        <n v="24872"/>
        <n v="230560"/>
        <n v="149320"/>
        <n v="342180"/>
        <n v="231014"/>
        <n v="232185"/>
        <n v="33482"/>
        <n v="445400"/>
        <n v="449130"/>
        <n v="22822"/>
        <n v="142880"/>
        <n v="132507"/>
        <n v="103545"/>
        <n v="89326"/>
        <n v="82048"/>
        <n v="216972"/>
        <n v="17439"/>
        <n v="186110"/>
        <n v="43599"/>
        <n v="87546"/>
        <n v="9207"/>
        <n v="75168"/>
        <n v="247255"/>
        <n v="126597"/>
        <n v="176925"/>
        <n v="4319"/>
        <n v="225104"/>
        <n v="25565"/>
        <n v="263179"/>
        <n v="9158"/>
        <n v="287024"/>
        <n v="23348"/>
        <n v="287707"/>
        <n v="19050"/>
        <n v="16066"/>
        <n v="58354"/>
        <n v="295044"/>
        <n v="75099"/>
        <n v="218496"/>
        <n v="193012"/>
        <n v="103292"/>
        <n v="25079"/>
        <n v="331205"/>
        <n v="481160"/>
        <n v="40474"/>
        <n v="211897"/>
        <n v="97155"/>
        <n v="345924"/>
        <n v="220176"/>
        <n v="82302"/>
        <n v="66680"/>
        <n v="234555"/>
        <n v="29744"/>
        <n v="80310"/>
        <n v="22452"/>
        <n v="47646"/>
        <n v="107796"/>
        <n v="334528"/>
        <n v="193200"/>
        <n v="179964"/>
        <n v="12488"/>
        <n v="201402"/>
        <n v="52708"/>
        <n v="120762"/>
        <n v="302272"/>
        <n v="114762"/>
        <n v="276768"/>
        <n v="355880"/>
        <n v="254976"/>
        <n v="82964"/>
        <n v="283914"/>
        <n v="86310"/>
        <n v="290745"/>
        <n v="226135"/>
        <n v="49342"/>
        <n v="322077"/>
        <n v="162684"/>
        <n v="302001"/>
        <n v="421520"/>
        <n v="242379"/>
        <n v="427630"/>
        <n v="77084"/>
        <n v="29565"/>
        <n v="45613"/>
        <n v="193160"/>
        <n v="72376"/>
        <n v="298100"/>
        <n v="33113"/>
        <n v="16313"/>
        <n v="52869"/>
        <n v="102780"/>
        <n v="27272"/>
        <n v="7754"/>
        <n v="199948"/>
        <n v="39360"/>
        <n v="20844"/>
        <n v="190520"/>
        <n v="166790"/>
        <n v="146940"/>
        <n v="201570"/>
        <n v="184257"/>
        <n v="484670"/>
        <n v="9816"/>
        <n v="100176"/>
        <n v="216396"/>
        <n v="450390"/>
        <n v="361665"/>
        <n v="150381"/>
        <n v="171552"/>
        <n v="168039"/>
        <n v="43650"/>
        <n v="50538"/>
        <n v="38142"/>
        <n v="173772"/>
        <n v="162715"/>
        <n v="95193"/>
        <n v="16816"/>
        <n v="56562"/>
        <n v="3566"/>
        <n v="170336"/>
        <n v="79416"/>
        <n v="53739"/>
        <n v="55964"/>
        <n v="44888"/>
        <n v="485450"/>
        <n v="265016"/>
        <n v="62670"/>
        <n v="147916"/>
        <n v="136815"/>
        <n v="127752"/>
        <n v="275990"/>
        <n v="42411"/>
        <n v="26969"/>
        <n v="136956"/>
        <n v="259794"/>
        <n v="321273"/>
        <n v="46204"/>
        <n v="54162"/>
        <n v="196875"/>
        <n v="162198"/>
        <n v="66261"/>
        <n v="203292"/>
        <n v="19576"/>
        <n v="82360"/>
        <n v="24048"/>
        <n v="127928"/>
        <n v="129829"/>
        <n v="157044"/>
        <n v="121786"/>
        <n v="1496"/>
        <n v="156450"/>
        <n v="274648"/>
        <n v="99178"/>
        <n v="247158"/>
        <n v="412270"/>
        <n v="137685"/>
        <n v="297660"/>
        <n v="120784"/>
        <n v="190584"/>
        <n v="134769"/>
        <n v="119664"/>
        <n v="275478"/>
        <n v="380288"/>
        <n v="288462"/>
        <n v="158925"/>
        <n v="268245"/>
        <n v="119010"/>
        <n v="163376"/>
        <n v="341128"/>
        <n v="84424"/>
        <n v="39826"/>
        <n v="262740"/>
        <n v="302148"/>
        <n v="89320"/>
        <n v="320040"/>
        <n v="13951"/>
        <n v="52978"/>
        <n v="115928"/>
        <n v="30210"/>
        <n v="24172"/>
        <n v="69804"/>
        <n v="194397"/>
        <n v="261114"/>
        <n v="12940"/>
        <n v="83882"/>
        <n v="2364"/>
        <n v="141985"/>
        <n v="77690"/>
        <n v="114912"/>
        <n v="34863"/>
        <n v="150378"/>
        <n v="97308"/>
        <n v="78696"/>
        <n v="334710"/>
        <n v="205576"/>
        <n v="31887"/>
        <n v="142137"/>
        <n v="240365"/>
        <n v="244764"/>
        <n v="173536"/>
        <n v="29412"/>
        <n v="81108"/>
        <n v="133809"/>
        <n v="77856"/>
        <n v="151180"/>
        <n v="258279"/>
        <n v="88720"/>
        <n v="184890"/>
        <n v="377368"/>
        <n v="224394"/>
        <n v="3615"/>
        <n v="248664"/>
        <n v="61851"/>
        <n v="130914"/>
        <n v="71430"/>
        <n v="108435"/>
        <n v="326655"/>
        <n v="49356"/>
        <n v="163600"/>
        <n v="302840"/>
        <n v="189657"/>
        <n v="80352"/>
        <n v="396783"/>
        <n v="17130"/>
        <n v="16840"/>
        <n v="245118"/>
        <n v="49175"/>
        <n v="73908"/>
        <n v="224112"/>
        <n v="31652"/>
        <n v="24434"/>
        <n v="325120"/>
        <n v="199970"/>
        <n v="8141"/>
        <n v="121595"/>
        <n v="33200"/>
        <n v="105720"/>
        <n v="210070"/>
        <n v="3786"/>
        <n v="26296"/>
        <n v="178119"/>
        <n v="281688"/>
        <n v="172105"/>
        <n v="443574"/>
        <n v="97758"/>
        <n v="52914"/>
        <n v="54399"/>
        <n v="17424"/>
        <n v="73490"/>
        <n v="115948"/>
        <n v="81330"/>
        <n v="10188"/>
        <n v="121206"/>
        <n v="256026"/>
        <n v="190172"/>
        <n v="249996"/>
        <n v="200943"/>
        <n v="193172"/>
        <n v="17271"/>
        <n v="308180"/>
        <n v="5998"/>
        <n v="137860"/>
        <n v="305536"/>
        <n v="188946"/>
        <n v="5696"/>
        <n v="12048"/>
        <n v="81806"/>
        <n v="34120"/>
        <n v="274232"/>
        <n v="55284"/>
        <n v="311456"/>
        <n v="23669"/>
        <n v="243750"/>
        <n v="217854"/>
        <n v="39870"/>
        <n v="114384"/>
        <n v="49419"/>
        <n v="11290"/>
        <n v="58744"/>
        <n v="326256"/>
        <n v="138396"/>
        <n v="195996"/>
        <n v="25461"/>
        <n v="178290"/>
        <n v="90621"/>
        <n v="139443"/>
        <n v="271467"/>
        <n v="146448"/>
        <n v="110520"/>
        <n v="144702"/>
        <n v="256686"/>
        <n v="10576"/>
        <n v="358911"/>
        <n v="194768"/>
        <n v="23930"/>
        <n v="139545"/>
        <n v="164227"/>
        <n v="3400"/>
        <n v="72910"/>
        <n v="356697"/>
        <n v="17472"/>
        <n v="69690"/>
        <n v="6048"/>
        <n v="157030"/>
        <n v="191190"/>
        <n v="65708"/>
        <n v="12544"/>
        <n v="113810"/>
        <n v="45840"/>
        <n v="86968"/>
        <n v="31277"/>
        <n v="3190"/>
        <n v="186940"/>
        <n v="53872"/>
        <n v="30866"/>
        <n v="260050"/>
        <n v="15432"/>
        <n v="178500"/>
        <n v="153464"/>
        <n v="112236"/>
        <n v="380140"/>
        <n v="31080"/>
        <n v="63580"/>
        <n v="10084"/>
        <n v="40664"/>
        <n v="10232"/>
        <n v="8461"/>
        <n v="45984"/>
        <n v="276291"/>
        <n v="108140"/>
        <n v="84730"/>
        <n v="21628"/>
        <n v="443390"/>
        <n v="2994"/>
        <n v="21470"/>
        <n v="16202"/>
        <n v="45148"/>
        <n v="62140"/>
        <n v="77392"/>
        <n v="39186"/>
        <n v="87584"/>
        <n v="343336"/>
        <n v="12753"/>
        <n v="58030"/>
        <n v="183864"/>
        <n v="45772"/>
        <n v="42614"/>
        <n v="222115"/>
        <n v="118662"/>
        <n v="196146"/>
        <n v="45308"/>
        <n v="19668"/>
        <n v="143790"/>
        <n v="36775"/>
        <n v="227106"/>
        <n v="122976"/>
        <n v="246710"/>
        <n v="234336"/>
        <n v="276666"/>
        <n v="220490"/>
        <n v="221557"/>
        <n v="47430"/>
        <n v="78084"/>
        <n v="78267"/>
        <n v="249280"/>
        <n v="7480"/>
        <n v="12168"/>
        <n v="21082"/>
        <n v="416376"/>
        <n v="173820"/>
        <n v="359912"/>
        <n v="154876"/>
        <n v="59673"/>
        <n v="89310"/>
        <n v="43732"/>
        <n v="165452"/>
        <n v="298952"/>
        <n v="174726"/>
        <n v="10422"/>
        <n v="6671"/>
        <n v="132375"/>
        <n v="237190"/>
        <n v="331880"/>
        <n v="95709"/>
        <n v="103656"/>
        <n v="83670"/>
        <n v="203270"/>
        <n v="217192"/>
        <n v="8677"/>
        <n v="492320"/>
        <n v="177058"/>
        <n v="23192"/>
        <n v="86478"/>
        <n v="94434"/>
        <n v="456460"/>
        <n v="22245"/>
        <n v="481740"/>
        <n v="355240"/>
        <n v="135318"/>
        <n v="3314"/>
        <n v="6900"/>
        <n v="262917"/>
        <n v="93789"/>
        <n v="140196"/>
        <n v="199540"/>
        <n v="253476"/>
        <n v="147582"/>
        <n v="177250"/>
        <n v="62178"/>
        <n v="78532"/>
        <n v="393102"/>
        <n v="108472"/>
        <n v="311463"/>
        <n v="245310"/>
        <n v="227664"/>
        <n v="216735"/>
        <n v="205585"/>
        <n v="75984"/>
        <n v="78582"/>
        <n v="19434"/>
        <n v="8616"/>
        <n v="60678"/>
        <n v="87734"/>
        <n v="278264"/>
        <n v="348272"/>
        <n v="222173"/>
        <n v="281475"/>
        <n v="118625"/>
        <n v="50568"/>
        <n v="198825"/>
        <n v="135777"/>
        <n v="96060"/>
        <n v="256896"/>
        <n v="39930"/>
        <n v="60976"/>
        <n v="49614"/>
        <n v="46288"/>
        <n v="345648"/>
        <n v="386060"/>
        <n v="66126"/>
        <n v="306927"/>
        <n v="73017"/>
        <n v="50080"/>
        <n v="474420"/>
        <n v="27808"/>
        <n v="134220"/>
        <n v="89229"/>
        <n v="24640"/>
        <n v="474960"/>
        <n v="174615"/>
        <n v="210800"/>
        <n v="444033"/>
        <n v="95007"/>
        <n v="131450"/>
        <n v="181940"/>
        <n v="236745"/>
        <n v="388020"/>
        <n v="369384"/>
        <n v="262040"/>
        <n v="44152"/>
        <n v="54746"/>
        <n v="169808"/>
        <n v="67460"/>
        <n v="39429"/>
        <n v="185244"/>
        <n v="176280"/>
        <n v="37235"/>
        <n v="45780"/>
        <n v="4554"/>
        <n v="211200"/>
        <n v="14304"/>
        <n v="314808"/>
        <n v="41536"/>
        <n v="42199"/>
        <n v="59307"/>
        <n v="160505"/>
        <n v="190476"/>
        <n v="169628"/>
        <n v="183155"/>
        <n v="29668"/>
        <n v="103000"/>
        <n v="80265"/>
        <n v="14789"/>
        <n v="168504"/>
        <n v="112112"/>
        <n v="243912"/>
        <n v="187176"/>
        <n v="198660"/>
        <n v="450630"/>
        <n v="88497"/>
        <n v="130825"/>
        <n v="27913"/>
        <n v="164104"/>
        <n v="136670"/>
        <n v="71656"/>
        <n v="57140"/>
        <n v="58286"/>
        <n v="37146"/>
        <n v="46100"/>
        <n v="322084"/>
        <n v="357290"/>
        <n v="38304"/>
        <n v="125520"/>
        <n v="168130"/>
        <n v="419280"/>
        <n v="166895"/>
        <n v="25359"/>
        <n v="147155"/>
        <n v="159388"/>
        <n v="471080"/>
        <n v="75100"/>
        <n v="52092"/>
        <n v="124280"/>
        <n v="100824"/>
        <n v="199816"/>
        <n v="37792"/>
        <n v="147752"/>
        <n v="57618"/>
        <n v="9898"/>
        <n v="385784"/>
        <n v="200360"/>
        <n v="20388"/>
        <n v="37310"/>
        <n v="191892"/>
        <n v="348334"/>
        <n v="30393"/>
        <n v="53268"/>
        <n v="214134"/>
        <n v="61025"/>
        <n v="132864"/>
        <n v="12138"/>
        <n v="229448"/>
        <n v="212432"/>
        <n v="81358"/>
        <n v="256792"/>
        <n v="182245"/>
        <n v="19791"/>
        <n v="10700"/>
        <n v="325633"/>
        <n v="290454"/>
        <n v="46716"/>
        <n v="253414"/>
        <n v="32808"/>
        <n v="32543"/>
        <n v="151065"/>
        <n v="134940"/>
        <n v="398040"/>
      </sharedItems>
    </cacheField>
    <cacheField name="Target" numFmtId="0">
      <sharedItems containsSemiMixedTypes="0" containsString="0" containsNumber="1" containsInteger="1" minValue="2009" maxValue="199973" count="1980">
        <n v="44644"/>
        <n v="4069"/>
        <n v="195631"/>
        <n v="24261"/>
        <n v="130021"/>
        <n v="82465"/>
        <n v="71294"/>
        <n v="66896"/>
        <n v="60426"/>
        <n v="46596"/>
        <n v="70503"/>
        <n v="48563"/>
        <n v="41876"/>
        <n v="196960"/>
        <n v="34387"/>
        <n v="102440"/>
        <n v="17940"/>
        <n v="180015"/>
        <n v="122808"/>
        <n v="59766"/>
        <n v="108985"/>
        <n v="6261"/>
        <n v="179840"/>
        <n v="38820"/>
        <n v="128472"/>
        <n v="40611"/>
        <n v="157598"/>
        <n v="51595"/>
        <n v="199498"/>
        <n v="145752"/>
        <n v="6784"/>
        <n v="84979"/>
        <n v="141453"/>
        <n v="132732"/>
        <n v="58490"/>
        <n v="101986"/>
        <n v="143453"/>
        <n v="31305"/>
        <n v="25297"/>
        <n v="139853"/>
        <n v="75301"/>
        <n v="162757"/>
        <n v="104237"/>
        <n v="136450"/>
        <n v="150987"/>
        <n v="58511"/>
        <n v="183665"/>
        <n v="189307"/>
        <n v="50681"/>
        <n v="149912"/>
        <n v="106701"/>
        <n v="29995"/>
        <n v="141601"/>
        <n v="15678"/>
        <n v="173698"/>
        <n v="43205"/>
        <n v="78267"/>
        <n v="34246"/>
        <n v="77070"/>
        <n v="87182"/>
        <n v="7344"/>
        <n v="162101"/>
        <n v="91941"/>
        <n v="120297"/>
        <n v="165460"/>
        <n v="4495"/>
        <n v="71431"/>
        <n v="124565"/>
        <n v="141751"/>
        <n v="97276"/>
        <n v="115958"/>
        <n v="42208"/>
        <n v="108371"/>
        <n v="175418"/>
        <n v="146477"/>
        <n v="135266"/>
        <n v="117374"/>
        <n v="178444"/>
        <n v="86882"/>
        <n v="87771"/>
        <n v="191064"/>
        <n v="30969"/>
        <n v="106767"/>
        <n v="47331"/>
        <n v="93518"/>
        <n v="169491"/>
        <n v="24693"/>
        <n v="181985"/>
        <n v="153431"/>
        <n v="26902"/>
        <n v="41322"/>
        <n v="79992"/>
        <n v="50834"/>
        <n v="11674"/>
        <n v="10935"/>
        <n v="15835"/>
        <n v="66270"/>
        <n v="76498"/>
        <n v="5101"/>
        <n v="160774"/>
        <n v="120709"/>
        <n v="117055"/>
        <n v="83476"/>
        <n v="17644"/>
        <n v="136886"/>
        <n v="197721"/>
        <n v="107799"/>
        <n v="58243"/>
        <n v="21964"/>
        <n v="9321"/>
        <n v="168940"/>
        <n v="112737"/>
        <n v="98813"/>
        <n v="96619"/>
        <n v="124024"/>
        <n v="193326"/>
        <n v="139143"/>
        <n v="59687"/>
        <n v="111218"/>
        <n v="142256"/>
        <n v="24883"/>
        <n v="102900"/>
        <n v="118922"/>
        <n v="111285"/>
        <n v="44164"/>
        <n v="178133"/>
        <n v="125949"/>
        <n v="174099"/>
        <n v="146873"/>
        <n v="175414"/>
        <n v="124399"/>
        <n v="30241"/>
        <n v="149004"/>
        <n v="123636"/>
        <n v="183269"/>
        <n v="143961"/>
        <n v="36515"/>
        <n v="87797"/>
        <n v="31431"/>
        <n v="51029"/>
        <n v="104323"/>
        <n v="48471"/>
        <n v="196328"/>
        <n v="20310"/>
        <n v="72721"/>
        <n v="176941"/>
        <n v="67566"/>
        <n v="74738"/>
        <n v="6812"/>
        <n v="119534"/>
        <n v="162466"/>
        <n v="12889"/>
        <n v="20169"/>
        <n v="176776"/>
        <n v="125449"/>
        <n v="103160"/>
        <n v="183133"/>
        <n v="22152"/>
        <n v="63501"/>
        <n v="68014"/>
        <n v="153205"/>
        <n v="20148"/>
        <n v="26096"/>
        <n v="35077"/>
        <n v="120964"/>
        <n v="20446"/>
        <n v="19004"/>
        <n v="106456"/>
        <n v="101711"/>
        <n v="75076"/>
        <n v="99702"/>
        <n v="44901"/>
        <n v="67620"/>
        <n v="166324"/>
        <n v="16819"/>
        <n v="24190"/>
        <n v="154384"/>
        <n v="82437"/>
        <n v="17831"/>
        <n v="193165"/>
        <n v="164480"/>
        <n v="62846"/>
        <n v="123452"/>
        <n v="73530"/>
        <n v="97377"/>
        <n v="113999"/>
        <n v="189370"/>
        <n v="95852"/>
        <n v="163603"/>
        <n v="2509"/>
        <n v="15353"/>
        <n v="113266"/>
        <n v="13808"/>
        <n v="108626"/>
        <n v="100160"/>
        <n v="81485"/>
        <n v="13314"/>
        <n v="49070"/>
        <n v="164240"/>
        <n v="3334"/>
        <n v="186245"/>
        <n v="12401"/>
        <n v="169057"/>
        <n v="73757"/>
        <n v="53239"/>
        <n v="50327"/>
        <n v="37586"/>
        <n v="111278"/>
        <n v="11207"/>
        <n v="184029"/>
        <n v="80169"/>
        <n v="147896"/>
        <n v="142363"/>
        <n v="198405"/>
        <n v="18090"/>
        <n v="154885"/>
        <n v="32693"/>
        <n v="113908"/>
        <n v="145577"/>
        <n v="46984"/>
        <n v="58181"/>
        <n v="44488"/>
        <n v="111598"/>
        <n v="194483"/>
        <n v="101651"/>
        <n v="102282"/>
        <n v="198997"/>
        <n v="53248"/>
        <n v="125089"/>
        <n v="172651"/>
        <n v="10039"/>
        <n v="155307"/>
        <n v="13091"/>
        <n v="107708"/>
        <n v="94803"/>
        <n v="88240"/>
        <n v="182279"/>
        <n v="94866"/>
        <n v="36552"/>
        <n v="180452"/>
        <n v="27582"/>
        <n v="41228"/>
        <n v="52197"/>
        <n v="193738"/>
        <n v="93353"/>
        <n v="34103"/>
        <n v="16252"/>
        <n v="77878"/>
        <n v="25537"/>
        <n v="151838"/>
        <n v="152483"/>
        <n v="83436"/>
        <n v="36522"/>
        <n v="138529"/>
        <n v="31825"/>
        <n v="115591"/>
        <n v="94660"/>
        <n v="66107"/>
        <n v="29521"/>
        <n v="187106"/>
        <n v="165461"/>
        <n v="60940"/>
        <n v="41870"/>
        <n v="190449"/>
        <n v="88666"/>
        <n v="62514"/>
        <n v="58444"/>
        <n v="153663"/>
        <n v="13150"/>
        <n v="58070"/>
        <n v="52664"/>
        <n v="49975"/>
        <n v="120885"/>
        <n v="146213"/>
        <n v="54555"/>
        <n v="103239"/>
        <n v="71763"/>
        <n v="75286"/>
        <n v="142293"/>
        <n v="60279"/>
        <n v="163061"/>
        <n v="176344"/>
        <n v="110682"/>
        <n v="183756"/>
        <n v="87397"/>
        <n v="23204"/>
        <n v="114216"/>
        <n v="130453"/>
        <n v="20916"/>
        <n v="24480"/>
        <n v="132942"/>
        <n v="154051"/>
        <n v="3837"/>
        <n v="190370"/>
        <n v="73475"/>
        <n v="37918"/>
        <n v="148645"/>
        <n v="118709"/>
        <n v="114911"/>
        <n v="138274"/>
        <n v="112320"/>
        <n v="193201"/>
        <n v="32762"/>
        <n v="140660"/>
        <n v="154596"/>
        <n v="117601"/>
        <n v="140571"/>
        <n v="75893"/>
        <n v="89021"/>
        <n v="195500"/>
        <n v="113521"/>
        <n v="81020"/>
        <n v="65981"/>
        <n v="139849"/>
        <n v="104140"/>
        <n v="64414"/>
        <n v="148650"/>
        <n v="52150"/>
        <n v="103897"/>
        <n v="73339"/>
        <n v="143068"/>
        <n v="152251"/>
        <n v="37354"/>
        <n v="27294"/>
        <n v="77747"/>
        <n v="78388"/>
        <n v="136548"/>
        <n v="88905"/>
        <n v="161067"/>
        <n v="198857"/>
        <n v="31924"/>
        <n v="113339"/>
        <n v="23620"/>
        <n v="103584"/>
        <n v="172199"/>
        <n v="117755"/>
        <n v="63094"/>
        <n v="193076"/>
        <n v="193690"/>
        <n v="130417"/>
        <n v="13869"/>
        <n v="105027"/>
        <n v="2267"/>
        <n v="20772"/>
        <n v="113473"/>
        <n v="46823"/>
        <n v="177840"/>
        <n v="157648"/>
        <n v="139450"/>
        <n v="28160"/>
        <n v="35162"/>
        <n v="46438"/>
        <n v="147798"/>
        <n v="86229"/>
        <n v="47232"/>
        <n v="126099"/>
        <n v="69774"/>
        <n v="57607"/>
        <n v="143993"/>
        <n v="127105"/>
        <n v="99848"/>
        <n v="149381"/>
        <n v="26495"/>
        <n v="83471"/>
        <n v="94962"/>
        <n v="28605"/>
        <n v="34756"/>
        <n v="87947"/>
        <n v="162393"/>
        <n v="163975"/>
        <n v="176653"/>
        <n v="107870"/>
        <n v="46050"/>
        <n v="160589"/>
        <n v="189859"/>
        <n v="184772"/>
        <n v="135372"/>
        <n v="115585"/>
        <n v="21618"/>
        <n v="22594"/>
        <n v="5422"/>
        <n v="103081"/>
        <n v="25813"/>
        <n v="50316"/>
        <n v="4204"/>
        <n v="38590"/>
        <n v="105164"/>
        <n v="146270"/>
        <n v="59760"/>
        <n v="89864"/>
        <n v="7343"/>
        <n v="107152"/>
        <n v="109779"/>
        <n v="136135"/>
        <n v="173931"/>
        <n v="184916"/>
        <n v="182139"/>
        <n v="163276"/>
        <n v="98167"/>
        <n v="66892"/>
        <n v="118554"/>
        <n v="172326"/>
        <n v="54007"/>
        <n v="77872"/>
        <n v="169006"/>
        <n v="190589"/>
        <n v="4641"/>
        <n v="31201"/>
        <n v="100376"/>
        <n v="42844"/>
        <n v="186272"/>
        <n v="189024"/>
        <n v="37581"/>
        <n v="31795"/>
        <n v="125498"/>
        <n v="180999"/>
        <n v="71148"/>
        <n v="197185"/>
        <n v="120776"/>
        <n v="183348"/>
        <n v="182550"/>
        <n v="62200"/>
        <n v="137747"/>
        <n v="48722"/>
        <n v="7236"/>
        <n v="186528"/>
        <n v="153211"/>
        <n v="72198"/>
        <n v="152768"/>
        <n v="134416"/>
        <n v="2891"/>
        <n v="158950"/>
        <n v="146723"/>
        <n v="116065"/>
        <n v="181395"/>
        <n v="160974"/>
        <n v="45211"/>
        <n v="53103"/>
        <n v="12522"/>
        <n v="190858"/>
        <n v="68205"/>
        <n v="183798"/>
        <n v="10860"/>
        <n v="187135"/>
        <n v="35224"/>
        <n v="30536"/>
        <n v="187399"/>
        <n v="93200"/>
        <n v="70593"/>
        <n v="45351"/>
        <n v="45708"/>
        <n v="190408"/>
        <n v="60929"/>
        <n v="65865"/>
        <n v="97353"/>
        <n v="111146"/>
        <n v="119318"/>
        <n v="76726"/>
        <n v="91798"/>
        <n v="157635"/>
        <n v="86619"/>
        <n v="112690"/>
        <n v="49293"/>
        <n v="156841"/>
        <n v="21585"/>
        <n v="161553"/>
        <n v="6304"/>
        <n v="134953"/>
        <n v="46940"/>
        <n v="52322"/>
        <n v="144146"/>
        <n v="191560"/>
        <n v="18745"/>
        <n v="133575"/>
        <n v="148038"/>
        <n v="195283"/>
        <n v="163679"/>
        <n v="193587"/>
        <n v="164864"/>
        <n v="112278"/>
        <n v="86982"/>
        <n v="20839"/>
        <n v="146716"/>
        <n v="198939"/>
        <n v="29420"/>
        <n v="107235"/>
        <n v="133819"/>
        <n v="59276"/>
        <n v="90157"/>
        <n v="189472"/>
        <n v="53788"/>
        <n v="150100"/>
        <n v="199203"/>
        <n v="89331"/>
        <n v="90428"/>
        <n v="166672"/>
        <n v="48850"/>
        <n v="112055"/>
        <n v="174007"/>
        <n v="58089"/>
        <n v="117870"/>
        <n v="117068"/>
        <n v="165467"/>
        <n v="21962"/>
        <n v="12140"/>
        <n v="170182"/>
        <n v="103418"/>
        <n v="147794"/>
        <n v="159780"/>
        <n v="115928"/>
        <n v="54965"/>
        <n v="131648"/>
        <n v="195681"/>
        <n v="128654"/>
        <n v="121862"/>
        <n v="91945"/>
        <n v="185187"/>
        <n v="135379"/>
        <n v="36774"/>
        <n v="102828"/>
        <n v="147825"/>
        <n v="160861"/>
        <n v="100823"/>
        <n v="137874"/>
        <n v="101940"/>
        <n v="49766"/>
        <n v="136660"/>
        <n v="152862"/>
        <n v="97034"/>
        <n v="178778"/>
        <n v="153889"/>
        <n v="145228"/>
        <n v="102336"/>
        <n v="38387"/>
        <n v="34716"/>
        <n v="20289"/>
        <n v="99973"/>
        <n v="60595"/>
        <n v="115713"/>
        <n v="141244"/>
        <n v="148669"/>
        <n v="184525"/>
        <n v="143189"/>
        <n v="121441"/>
        <n v="93989"/>
        <n v="173103"/>
        <n v="173654"/>
        <n v="116285"/>
        <n v="15682"/>
        <n v="116949"/>
        <n v="114918"/>
        <n v="63282"/>
        <n v="168313"/>
        <n v="108656"/>
        <n v="79469"/>
        <n v="34234"/>
        <n v="132500"/>
        <n v="120253"/>
        <n v="103670"/>
        <n v="74329"/>
        <n v="73261"/>
        <n v="198197"/>
        <n v="164179"/>
        <n v="2298"/>
        <n v="187764"/>
        <n v="13630"/>
        <n v="7420"/>
        <n v="82085"/>
        <n v="127222"/>
        <n v="155489"/>
        <n v="156417"/>
        <n v="193278"/>
        <n v="86687"/>
        <n v="138081"/>
        <n v="114776"/>
        <n v="93172"/>
        <n v="41240"/>
        <n v="42685"/>
        <n v="148210"/>
        <n v="123984"/>
        <n v="141615"/>
        <n v="69345"/>
        <n v="40081"/>
        <n v="3165"/>
        <n v="81761"/>
        <n v="35425"/>
        <n v="141863"/>
        <n v="164001"/>
        <n v="63097"/>
        <n v="36251"/>
        <n v="155993"/>
        <n v="173295"/>
        <n v="102363"/>
        <n v="84627"/>
        <n v="15299"/>
        <n v="125231"/>
        <n v="160805"/>
        <n v="55137"/>
        <n v="96150"/>
        <n v="142656"/>
        <n v="2916"/>
        <n v="76539"/>
        <n v="185441"/>
        <n v="138107"/>
        <n v="84845"/>
        <n v="43378"/>
        <n v="65831"/>
        <n v="156554"/>
        <n v="181934"/>
        <n v="76009"/>
        <n v="144463"/>
        <n v="138246"/>
        <n v="41072"/>
        <n v="35282"/>
        <n v="99125"/>
        <n v="147708"/>
        <n v="91745"/>
        <n v="4797"/>
        <n v="62161"/>
        <n v="64448"/>
        <n v="3655"/>
        <n v="62395"/>
        <n v="62372"/>
        <n v="184445"/>
        <n v="139457"/>
        <n v="127465"/>
        <n v="191690"/>
        <n v="58350"/>
        <n v="156494"/>
        <n v="96766"/>
        <n v="93676"/>
        <n v="86578"/>
        <n v="116496"/>
        <n v="102423"/>
        <n v="8740"/>
        <n v="48740"/>
        <n v="194630"/>
        <n v="89890"/>
        <n v="90771"/>
        <n v="83884"/>
        <n v="178788"/>
        <n v="99171"/>
        <n v="59127"/>
        <n v="66144"/>
        <n v="33097"/>
        <n v="172818"/>
        <n v="64618"/>
        <n v="159057"/>
        <n v="75512"/>
        <n v="180751"/>
        <n v="95874"/>
        <n v="90530"/>
        <n v="187235"/>
        <n v="20290"/>
        <n v="174370"/>
        <n v="18852"/>
        <n v="127354"/>
        <n v="67958"/>
        <n v="138769"/>
        <n v="23186"/>
        <n v="39130"/>
        <n v="28035"/>
        <n v="196731"/>
        <n v="73196"/>
        <n v="158842"/>
        <n v="179215"/>
        <n v="135735"/>
        <n v="66036"/>
        <n v="55792"/>
        <n v="147514"/>
        <n v="174873"/>
        <n v="69688"/>
        <n v="157871"/>
        <n v="90804"/>
        <n v="45919"/>
        <n v="101423"/>
        <n v="96830"/>
        <n v="122054"/>
        <n v="91848"/>
        <n v="183274"/>
        <n v="71451"/>
        <n v="121709"/>
        <n v="16569"/>
        <n v="157574"/>
        <n v="112483"/>
        <n v="32703"/>
        <n v="115774"/>
        <n v="106077"/>
        <n v="191697"/>
        <n v="84820"/>
        <n v="139613"/>
        <n v="13380"/>
        <n v="59843"/>
        <n v="3267"/>
        <n v="29764"/>
        <n v="4055"/>
        <n v="111825"/>
        <n v="34566"/>
        <n v="95957"/>
        <n v="108843"/>
        <n v="159170"/>
        <n v="120069"/>
        <n v="197802"/>
        <n v="138686"/>
        <n v="71128"/>
        <n v="122793"/>
        <n v="26990"/>
        <n v="154684"/>
        <n v="99671"/>
        <n v="49329"/>
        <n v="189049"/>
        <n v="146776"/>
        <n v="29263"/>
        <n v="157724"/>
        <n v="7258"/>
        <n v="74453"/>
        <n v="57193"/>
        <n v="184322"/>
        <n v="158013"/>
        <n v="118081"/>
        <n v="23818"/>
        <n v="49433"/>
        <n v="143754"/>
        <n v="142160"/>
        <n v="2125"/>
        <n v="142359"/>
        <n v="189203"/>
        <n v="94139"/>
        <n v="122564"/>
        <n v="197792"/>
        <n v="27800"/>
        <n v="189033"/>
        <n v="197463"/>
        <n v="182759"/>
        <n v="187857"/>
        <n v="105646"/>
        <n v="109197"/>
        <n v="140943"/>
        <n v="106341"/>
        <n v="65195"/>
        <n v="96308"/>
        <n v="90239"/>
        <n v="183209"/>
        <n v="147420"/>
        <n v="16138"/>
        <n v="91167"/>
        <n v="90256"/>
        <n v="36443"/>
        <n v="137980"/>
        <n v="110567"/>
        <n v="139454"/>
        <n v="81027"/>
        <n v="48211"/>
        <n v="92515"/>
        <n v="192714"/>
        <n v="175211"/>
        <n v="186275"/>
        <n v="143411"/>
        <n v="195185"/>
        <n v="83684"/>
        <n v="28257"/>
        <n v="11823"/>
        <n v="150229"/>
        <n v="143596"/>
        <n v="40004"/>
        <n v="84597"/>
        <n v="107570"/>
        <n v="98723"/>
        <n v="185599"/>
        <n v="57305"/>
        <n v="169979"/>
        <n v="167592"/>
        <n v="2009"/>
        <n v="163066"/>
        <n v="123138"/>
        <n v="114627"/>
        <n v="176124"/>
        <n v="92536"/>
        <n v="35563"/>
        <n v="174657"/>
        <n v="84316"/>
        <n v="8414"/>
        <n v="58552"/>
        <n v="83437"/>
        <n v="198073"/>
        <n v="90977"/>
        <n v="84819"/>
        <n v="9194"/>
        <n v="181418"/>
        <n v="116914"/>
        <n v="69395"/>
        <n v="129281"/>
        <n v="135748"/>
        <n v="31653"/>
        <n v="69460"/>
        <n v="58832"/>
        <n v="175022"/>
        <n v="15585"/>
        <n v="57211"/>
        <n v="24335"/>
        <n v="195610"/>
        <n v="161085"/>
        <n v="44514"/>
        <n v="120742"/>
        <n v="65599"/>
        <n v="45784"/>
        <n v="75532"/>
        <n v="52205"/>
        <n v="196265"/>
        <n v="98135"/>
        <n v="76018"/>
        <n v="136036"/>
        <n v="84361"/>
        <n v="27814"/>
        <n v="153748"/>
        <n v="65501"/>
        <n v="170710"/>
        <n v="70932"/>
        <n v="25854"/>
        <n v="97765"/>
        <n v="193602"/>
        <n v="121652"/>
        <n v="129413"/>
        <n v="100911"/>
        <n v="45512"/>
        <n v="26070"/>
        <n v="116867"/>
        <n v="33302"/>
        <n v="106576"/>
        <n v="29154"/>
        <n v="140301"/>
        <n v="139184"/>
        <n v="52392"/>
        <n v="142039"/>
        <n v="95540"/>
        <n v="68605"/>
        <n v="87564"/>
        <n v="175043"/>
        <n v="55714"/>
        <n v="55407"/>
        <n v="55031"/>
        <n v="97032"/>
        <n v="108075"/>
        <n v="37312"/>
        <n v="37820"/>
        <n v="16873"/>
        <n v="134539"/>
        <n v="115648"/>
        <n v="29550"/>
        <n v="43426"/>
        <n v="199973"/>
        <n v="185914"/>
        <n v="179177"/>
        <n v="147676"/>
        <n v="89643"/>
        <n v="73614"/>
        <n v="38540"/>
        <n v="125904"/>
        <n v="111436"/>
        <n v="175855"/>
        <n v="132752"/>
        <n v="123315"/>
        <n v="30486"/>
        <n v="162903"/>
        <n v="180933"/>
        <n v="101436"/>
        <n v="50310"/>
        <n v="137148"/>
        <n v="171977"/>
        <n v="34471"/>
        <n v="32890"/>
        <n v="34682"/>
        <n v="18663"/>
        <n v="46804"/>
        <n v="134698"/>
        <n v="111775"/>
        <n v="89099"/>
        <n v="13744"/>
        <n v="49792"/>
        <n v="55939"/>
        <n v="42271"/>
        <n v="181096"/>
        <n v="66781"/>
        <n v="126999"/>
        <n v="112002"/>
        <n v="195455"/>
        <n v="191683"/>
        <n v="83693"/>
        <n v="198408"/>
        <n v="157549"/>
        <n v="26545"/>
        <n v="162499"/>
        <n v="103712"/>
        <n v="60289"/>
        <n v="59811"/>
        <n v="119212"/>
        <n v="97335"/>
        <n v="72879"/>
        <n v="65656"/>
        <n v="196797"/>
        <n v="158578"/>
        <n v="175335"/>
        <n v="67977"/>
        <n v="171860"/>
        <n v="41651"/>
        <n v="131032"/>
        <n v="97888"/>
        <n v="92636"/>
        <n v="45482"/>
        <n v="41216"/>
        <n v="128093"/>
        <n v="154272"/>
        <n v="113028"/>
        <n v="184335"/>
        <n v="104997"/>
        <n v="27679"/>
        <n v="65930"/>
        <n v="108035"/>
        <n v="22727"/>
        <n v="154723"/>
        <n v="115569"/>
        <n v="164484"/>
        <n v="192321"/>
        <n v="72613"/>
        <n v="92820"/>
        <n v="160181"/>
        <n v="83960"/>
        <n v="138530"/>
        <n v="174024"/>
        <n v="177664"/>
        <n v="21459"/>
        <n v="93489"/>
        <n v="20843"/>
        <n v="4741"/>
        <n v="159355"/>
        <n v="172974"/>
        <n v="8128"/>
        <n v="122915"/>
        <n v="59335"/>
        <n v="167981"/>
        <n v="52139"/>
        <n v="174304"/>
        <n v="16697"/>
        <n v="144175"/>
        <n v="82513"/>
        <n v="143308"/>
        <n v="168605"/>
        <n v="88840"/>
        <n v="150719"/>
        <n v="133509"/>
        <n v="169613"/>
        <n v="152652"/>
        <n v="143447"/>
        <n v="99918"/>
        <n v="48176"/>
        <n v="165123"/>
        <n v="179041"/>
        <n v="92079"/>
        <n v="64531"/>
        <n v="76374"/>
        <n v="54169"/>
        <n v="130225"/>
        <n v="59944"/>
        <n v="73129"/>
        <n v="60395"/>
        <n v="33462"/>
        <n v="136179"/>
        <n v="28532"/>
        <n v="16422"/>
        <n v="130253"/>
        <n v="173953"/>
        <n v="20390"/>
        <n v="152877"/>
        <n v="68049"/>
        <n v="37972"/>
        <n v="48386"/>
        <n v="113494"/>
        <n v="21512"/>
        <n v="60709"/>
        <n v="153353"/>
        <n v="197946"/>
        <n v="18522"/>
        <n v="89758"/>
        <n v="51135"/>
        <n v="23653"/>
        <n v="20262"/>
        <n v="66325"/>
        <n v="164670"/>
        <n v="20165"/>
        <n v="152074"/>
        <n v="132584"/>
        <n v="11832"/>
        <n v="168080"/>
        <n v="50064"/>
        <n v="175339"/>
        <n v="103085"/>
        <n v="91073"/>
        <n v="140495"/>
        <n v="15308"/>
        <n v="155809"/>
        <n v="145284"/>
        <n v="26792"/>
        <n v="101833"/>
        <n v="170275"/>
        <n v="25453"/>
        <n v="33272"/>
        <n v="111457"/>
        <n v="140659"/>
        <n v="198745"/>
        <n v="92517"/>
        <n v="34911"/>
        <n v="157469"/>
        <n v="153967"/>
        <n v="73520"/>
        <n v="26246"/>
        <n v="162733"/>
        <n v="167786"/>
        <n v="68995"/>
        <n v="109334"/>
        <n v="141422"/>
        <n v="175035"/>
        <n v="111286"/>
        <n v="171690"/>
        <n v="19358"/>
        <n v="18416"/>
        <n v="194163"/>
        <n v="115108"/>
        <n v="101189"/>
        <n v="23150"/>
        <n v="21473"/>
        <n v="138305"/>
        <n v="32615"/>
        <n v="159017"/>
        <n v="41643"/>
        <n v="62688"/>
        <n v="138536"/>
        <n v="90627"/>
        <n v="79656"/>
        <n v="56943"/>
        <n v="126903"/>
        <n v="92245"/>
        <n v="176106"/>
        <n v="31661"/>
        <n v="18611"/>
        <n v="112869"/>
        <n v="80976"/>
        <n v="135325"/>
        <n v="104724"/>
        <n v="199391"/>
        <n v="89313"/>
        <n v="40576"/>
        <n v="193613"/>
        <n v="12479"/>
        <n v="89465"/>
        <n v="115330"/>
        <n v="154697"/>
        <n v="163307"/>
        <n v="24872"/>
        <n v="175357"/>
        <n v="37666"/>
        <n v="122229"/>
        <n v="139083"/>
        <n v="195965"/>
        <n v="122774"/>
        <n v="140255"/>
        <n v="57688"/>
        <n v="11531"/>
        <n v="44499"/>
        <n v="141057"/>
        <n v="128974"/>
        <n v="51919"/>
        <n v="78994"/>
        <n v="62614"/>
        <n v="197296"/>
        <n v="19131"/>
        <n v="116514"/>
        <n v="52276"/>
        <n v="71303"/>
        <n v="8185"/>
        <n v="130777"/>
        <n v="46802"/>
        <n v="89567"/>
        <n v="72077"/>
        <n v="99378"/>
        <n v="125385"/>
        <n v="106982"/>
        <n v="167094"/>
        <n v="19829"/>
        <n v="179150"/>
        <n v="155838"/>
        <n v="49556"/>
        <n v="95580"/>
        <n v="73500"/>
        <n v="61650"/>
        <n v="54904"/>
        <n v="154677"/>
        <n v="185682"/>
        <n v="19732"/>
        <n v="170712"/>
        <n v="25220"/>
        <n v="23099"/>
        <n v="74367"/>
        <n v="175690"/>
        <n v="194553"/>
        <n v="93906"/>
        <n v="121021"/>
        <n v="12093"/>
        <n v="7809"/>
        <n v="83747"/>
        <n v="136845"/>
        <n v="125083"/>
        <n v="90313"/>
        <n v="189388"/>
        <n v="105111"/>
        <n v="5791"/>
        <n v="197853"/>
        <n v="140404"/>
        <n v="51139"/>
        <n v="82665"/>
        <n v="42627"/>
        <n v="186080"/>
        <n v="173741"/>
        <n v="81594"/>
        <n v="193701"/>
        <n v="124458"/>
        <n v="148304"/>
        <n v="60418"/>
        <n v="159662"/>
        <n v="122338"/>
        <n v="10115"/>
        <n v="31681"/>
        <n v="192146"/>
        <n v="80935"/>
        <n v="111647"/>
        <n v="119857"/>
        <n v="143120"/>
        <n v="53697"/>
        <n v="87737"/>
        <n v="92923"/>
        <n v="94162"/>
        <n v="189030"/>
        <n v="157659"/>
        <n v="67770"/>
        <n v="24723"/>
        <n v="68010"/>
        <n v="177752"/>
        <n v="104273"/>
        <n v="47236"/>
        <n v="70965"/>
        <n v="88838"/>
        <n v="39949"/>
        <n v="121626"/>
        <n v="24078"/>
        <n v="120311"/>
        <n v="3487"/>
        <n v="119644"/>
        <n v="21019"/>
        <n v="41831"/>
        <n v="26238"/>
        <n v="198021"/>
        <n v="172194"/>
        <n v="102797"/>
        <n v="134942"/>
        <n v="63102"/>
        <n v="148831"/>
        <n v="164609"/>
        <n v="119519"/>
        <n v="56412"/>
        <n v="107074"/>
        <n v="39645"/>
        <n v="29028"/>
        <n v="138849"/>
        <n v="178033"/>
        <n v="12116"/>
        <n v="198327"/>
        <n v="88661"/>
        <n v="186760"/>
        <n v="71325"/>
        <n v="116553"/>
        <n v="41558"/>
        <n v="179836"/>
        <n v="181079"/>
        <n v="99311"/>
        <n v="171414"/>
        <n v="197984"/>
        <n v="68408"/>
        <n v="28133"/>
        <n v="120211"/>
        <n v="83828"/>
        <n v="83972"/>
        <n v="143497"/>
        <n v="61501"/>
        <n v="75028"/>
        <n v="6936"/>
        <n v="40407"/>
        <n v="104899"/>
        <n v="87249"/>
        <n v="79702"/>
        <n v="144414"/>
        <n v="71380"/>
        <n v="167337"/>
        <n v="178907"/>
        <n v="105419"/>
        <n v="133395"/>
        <n v="152464"/>
        <n v="107021"/>
        <n v="14685"/>
        <n v="45101"/>
        <n v="13643"/>
        <n v="197158"/>
        <n v="98729"/>
        <n v="127172"/>
        <n v="109661"/>
        <n v="17695"/>
        <n v="116901"/>
        <n v="66782"/>
        <n v="190631"/>
        <n v="33100"/>
        <n v="173269"/>
        <n v="73632"/>
        <n v="59690"/>
        <n v="112536"/>
        <n v="113427"/>
        <n v="178479"/>
        <n v="114008"/>
        <n v="194108"/>
        <n v="128102"/>
        <n v="157827"/>
        <n v="166109"/>
        <n v="40650"/>
        <n v="11081"/>
        <n v="37512"/>
        <n v="47339"/>
        <n v="134143"/>
        <n v="106044"/>
        <n v="9302"/>
        <n v="46572"/>
        <n v="25635"/>
        <n v="105386"/>
        <n v="97878"/>
        <n v="153469"/>
        <n v="119013"/>
        <n v="126337"/>
        <n v="188385"/>
        <n v="143029"/>
        <n v="72261"/>
        <n v="152329"/>
        <n v="9871"/>
        <n v="193336"/>
        <n v="79613"/>
        <n v="18032"/>
        <n v="174868"/>
        <n v="169904"/>
        <n v="6928"/>
        <n v="127598"/>
        <n v="131334"/>
        <n v="189428"/>
        <n v="177549"/>
        <n v="82613"/>
        <n v="38573"/>
        <n v="132054"/>
        <n v="11722"/>
        <n v="115515"/>
        <n v="44768"/>
        <n v="182752"/>
        <n v="137202"/>
        <n v="115571"/>
        <n v="90205"/>
        <n v="168124"/>
        <n v="9892"/>
        <n v="153034"/>
        <n v="166494"/>
        <n v="102759"/>
        <n v="94731"/>
        <n v="121280"/>
        <n v="134148"/>
        <n v="142514"/>
        <n v="157607"/>
        <n v="74119"/>
        <n v="142887"/>
        <n v="139688"/>
        <n v="180554"/>
        <n v="141878"/>
        <n v="12646"/>
        <n v="73564"/>
        <n v="118037"/>
        <n v="92191"/>
        <n v="34474"/>
        <n v="62135"/>
        <n v="108890"/>
        <n v="84508"/>
        <n v="155515"/>
        <n v="66024"/>
        <n v="81817"/>
        <n v="195448"/>
        <n v="99419"/>
        <n v="133851"/>
        <n v="159217"/>
        <n v="37749"/>
        <n v="157785"/>
        <n v="198318"/>
        <n v="63877"/>
        <n v="44968"/>
        <n v="89926"/>
        <n v="55039"/>
        <n v="46095"/>
        <n v="39646"/>
        <n v="38126"/>
        <n v="7134"/>
        <n v="199797"/>
        <n v="149092"/>
        <n v="47366"/>
        <n v="199699"/>
        <n v="74766"/>
        <n v="157065"/>
        <n v="82176"/>
        <n v="127092"/>
        <n v="41879"/>
        <n v="40140"/>
        <n v="140970"/>
        <n v="18238"/>
        <n v="177293"/>
        <n v="193304"/>
        <n v="99484"/>
        <n v="134769"/>
        <n v="111516"/>
        <n v="76289"/>
        <n v="29174"/>
        <n v="110585"/>
        <n v="132478"/>
        <n v="16069"/>
        <n v="16925"/>
        <n v="16155"/>
        <n v="13230"/>
        <n v="37911"/>
        <n v="56801"/>
        <n v="104827"/>
        <n v="168307"/>
        <n v="151439"/>
        <n v="128600"/>
        <n v="113507"/>
        <n v="75496"/>
        <n v="120828"/>
        <n v="110088"/>
        <n v="21093"/>
        <n v="33947"/>
        <n v="121631"/>
        <n v="108559"/>
        <n v="179680"/>
        <n v="107744"/>
        <n v="23251"/>
        <n v="51805"/>
        <n v="168764"/>
        <n v="55587"/>
        <n v="185362"/>
        <n v="185004"/>
        <n v="4519"/>
        <n v="111118"/>
        <n v="71869"/>
        <n v="153697"/>
        <n v="71891"/>
        <n v="176625"/>
        <n v="38826"/>
        <n v="181692"/>
        <n v="46816"/>
        <n v="77756"/>
        <n v="99678"/>
        <n v="32037"/>
        <n v="86379"/>
        <n v="119229"/>
        <n v="32621"/>
        <n v="88892"/>
        <n v="107547"/>
        <n v="154879"/>
        <n v="40315"/>
        <n v="49757"/>
        <n v="108910"/>
        <n v="144104"/>
        <n v="32310"/>
        <n v="146910"/>
        <n v="145451"/>
        <n v="127118"/>
        <n v="34988"/>
        <n v="191814"/>
        <n v="2893"/>
        <n v="86181"/>
        <n v="74142"/>
        <n v="135028"/>
        <n v="113931"/>
        <n v="128234"/>
        <n v="79207"/>
        <n v="23035"/>
        <n v="197912"/>
        <n v="72763"/>
        <n v="197449"/>
        <n v="94638"/>
        <n v="58590"/>
        <n v="192919"/>
        <n v="173790"/>
        <n v="87514"/>
        <n v="100827"/>
        <n v="118604"/>
        <n v="190020"/>
        <n v="172272"/>
        <n v="53432"/>
        <n v="99874"/>
        <n v="61865"/>
        <n v="53486"/>
        <n v="10500"/>
        <n v="140518"/>
        <n v="105332"/>
        <n v="146328"/>
        <n v="191293"/>
        <n v="5851"/>
        <n v="131938"/>
        <n v="134796"/>
        <n v="104336"/>
        <n v="31604"/>
        <n v="60119"/>
        <n v="164760"/>
        <n v="30491"/>
        <n v="146814"/>
        <n v="173237"/>
        <n v="89385"/>
        <n v="162890"/>
        <n v="142103"/>
        <n v="111080"/>
        <n v="174583"/>
        <n v="139845"/>
        <n v="16868"/>
        <n v="128958"/>
        <n v="87354"/>
        <n v="174702"/>
        <n v="85527"/>
        <n v="113759"/>
        <n v="3027"/>
        <n v="104152"/>
        <n v="11319"/>
        <n v="85978"/>
        <n v="76981"/>
        <n v="26969"/>
        <n v="163247"/>
        <n v="167486"/>
        <n v="106515"/>
        <n v="82731"/>
        <n v="149645"/>
        <n v="26307"/>
        <n v="199283"/>
        <n v="166332"/>
        <n v="14094"/>
        <n v="59217"/>
        <n v="119134"/>
        <n v="141606"/>
        <n v="17522"/>
        <n v="36908"/>
        <n v="26830"/>
        <n v="156836"/>
        <n v="21239"/>
        <n v="27199"/>
        <n v="126623"/>
        <n v="123745"/>
        <n v="16174"/>
        <n v="137433"/>
        <n v="140346"/>
        <n v="167771"/>
        <n v="81065"/>
        <n v="128121"/>
        <n v="176610"/>
        <n v="19390"/>
        <n v="113963"/>
        <n v="135606"/>
        <n v="47751"/>
        <n v="74880"/>
        <n v="47755"/>
        <n v="50586"/>
        <n v="88334"/>
        <n v="22913"/>
        <n v="186828"/>
        <n v="166404"/>
        <n v="93301"/>
        <n v="57336"/>
        <n v="34568"/>
        <n v="179914"/>
        <n v="86255"/>
        <n v="156615"/>
        <n v="3224"/>
        <n v="111142"/>
        <n v="195728"/>
        <n v="62250"/>
        <n v="93848"/>
        <n v="36331"/>
        <n v="24653"/>
        <n v="102428"/>
        <n v="132032"/>
        <n v="36421"/>
        <n v="22864"/>
        <n v="164343"/>
        <n v="45230"/>
        <n v="185408"/>
        <n v="133920"/>
        <n v="145970"/>
        <n v="49332"/>
        <n v="130828"/>
        <n v="6732"/>
        <n v="163387"/>
        <n v="136347"/>
        <n v="156497"/>
        <n v="169662"/>
        <n v="97476"/>
        <n v="66052"/>
        <n v="52783"/>
        <n v="189553"/>
        <n v="129640"/>
        <n v="91886"/>
        <n v="140243"/>
        <n v="183529"/>
        <n v="134144"/>
        <n v="105928"/>
        <n v="56329"/>
        <n v="94164"/>
        <n v="61249"/>
        <n v="32144"/>
        <n v="96259"/>
        <n v="195967"/>
        <n v="46939"/>
        <n v="84574"/>
        <n v="110149"/>
        <n v="195429"/>
        <n v="186793"/>
        <n v="87107"/>
        <n v="68578"/>
        <n v="175762"/>
        <n v="64965"/>
        <n v="91919"/>
        <n v="155580"/>
        <n v="67656"/>
        <n v="18945"/>
        <n v="142076"/>
        <n v="113155"/>
        <n v="118530"/>
        <n v="95175"/>
        <n v="144788"/>
        <n v="131301"/>
        <n v="39351"/>
        <n v="28393"/>
        <n v="144396"/>
        <n v="63445"/>
        <n v="21466"/>
        <n v="30535"/>
        <n v="166871"/>
        <n v="136046"/>
        <n v="77795"/>
        <n v="59471"/>
        <n v="85653"/>
        <n v="70371"/>
        <n v="49076"/>
        <n v="22220"/>
        <n v="110712"/>
        <n v="108845"/>
        <n v="94299"/>
        <n v="45323"/>
        <n v="117630"/>
        <n v="109317"/>
        <n v="70064"/>
        <n v="22426"/>
        <n v="135626"/>
        <n v="106819"/>
        <n v="55776"/>
        <n v="98343"/>
        <n v="143380"/>
        <n v="107859"/>
        <n v="154462"/>
        <n v="86898"/>
        <n v="132747"/>
        <n v="199671"/>
        <n v="137713"/>
        <n v="183080"/>
        <n v="157577"/>
        <n v="179960"/>
        <n v="83068"/>
        <n v="102228"/>
        <n v="28060"/>
        <n v="181691"/>
        <n v="17640"/>
        <n v="59508"/>
        <n v="146992"/>
        <n v="128162"/>
        <n v="147877"/>
        <n v="62145"/>
        <n v="14373"/>
        <n v="132342"/>
        <n v="12434"/>
        <n v="39804"/>
        <n v="80847"/>
        <n v="154712"/>
        <n v="191141"/>
        <n v="120874"/>
        <n v="159034"/>
        <n v="184336"/>
        <n v="61342"/>
        <n v="82618"/>
        <n v="116703"/>
        <n v="90882"/>
        <n v="89529"/>
        <n v="85013"/>
        <n v="163862"/>
        <n v="101901"/>
        <n v="112437"/>
        <n v="135905"/>
        <n v="142429"/>
        <n v="36063"/>
        <n v="66223"/>
        <n v="123694"/>
        <n v="85520"/>
        <n v="127414"/>
        <n v="110696"/>
        <n v="40649"/>
        <n v="59599"/>
        <n v="170756"/>
        <n v="22851"/>
        <n v="71275"/>
        <n v="110412"/>
        <n v="104661"/>
        <n v="131509"/>
        <n v="78974"/>
        <n v="22942"/>
        <n v="31962"/>
        <n v="165902"/>
        <n v="196472"/>
        <n v="36629"/>
        <n v="120477"/>
        <n v="128170"/>
        <n v="171491"/>
        <n v="139545"/>
        <n v="30496"/>
        <n v="68396"/>
        <n v="122055"/>
        <n v="58134"/>
        <n v="24008"/>
        <n v="48498"/>
        <n v="145184"/>
        <n v="172911"/>
        <n v="181977"/>
        <n v="128854"/>
        <n v="120725"/>
        <n v="155596"/>
        <n v="176807"/>
        <n v="125758"/>
        <n v="12669"/>
        <n v="126170"/>
        <n v="136641"/>
        <n v="30420"/>
        <n v="8315"/>
        <n v="79588"/>
        <n v="92290"/>
        <n v="20695"/>
        <n v="70988"/>
        <n v="195465"/>
        <n v="6285"/>
        <n v="119254"/>
        <n v="188968"/>
        <n v="40035"/>
        <n v="135547"/>
        <n v="160727"/>
        <n v="9512"/>
        <n v="129148"/>
        <n v="139655"/>
        <n v="47522"/>
        <n v="135183"/>
        <n v="180178"/>
        <n v="11245"/>
        <n v="146669"/>
        <n v="122948"/>
        <n v="179751"/>
        <n v="75267"/>
        <n v="108689"/>
        <n v="187157"/>
        <n v="146158"/>
        <n v="107746"/>
        <n v="153410"/>
        <n v="22242"/>
        <n v="193066"/>
        <n v="66858"/>
        <n v="168019"/>
        <n v="193534"/>
        <n v="95233"/>
        <n v="148886"/>
        <n v="65549"/>
        <n v="99483"/>
        <n v="32547"/>
        <n v="74920"/>
        <n v="198007"/>
        <n v="13604"/>
        <n v="56007"/>
        <n v="11827"/>
        <n v="133382"/>
        <n v="78110"/>
        <n v="20783"/>
        <n v="178602"/>
        <n v="44216"/>
        <n v="88521"/>
        <n v="30963"/>
        <n v="69924"/>
        <n v="139738"/>
        <n v="188230"/>
        <n v="43314"/>
        <n v="31965"/>
        <n v="163037"/>
        <n v="159599"/>
        <n v="160190"/>
        <n v="132039"/>
        <n v="122251"/>
        <n v="115231"/>
        <n v="164258"/>
        <n v="86171"/>
        <n v="185158"/>
        <n v="51185"/>
        <n v="183299"/>
        <n v="15618"/>
        <n v="65725"/>
        <n v="25770"/>
        <n v="6640"/>
        <n v="183072"/>
        <n v="46842"/>
        <n v="157263"/>
        <n v="47768"/>
        <n v="130774"/>
        <n v="180909"/>
        <n v="98234"/>
        <n v="26144"/>
        <n v="117878"/>
        <n v="20429"/>
        <n v="44279"/>
        <n v="82767"/>
        <n v="18021"/>
        <n v="52645"/>
        <n v="167957"/>
        <n v="59775"/>
        <n v="159990"/>
        <n v="30682"/>
        <n v="63792"/>
        <n v="51726"/>
        <n v="110226"/>
        <n v="175751"/>
        <n v="90401"/>
        <n v="191251"/>
        <n v="30436"/>
        <n v="166911"/>
        <n v="114011"/>
        <n v="88639"/>
        <n v="95436"/>
        <n v="154201"/>
        <n v="86010"/>
        <n v="18743"/>
        <n v="51108"/>
        <n v="31532"/>
        <n v="198585"/>
        <n v="100266"/>
        <n v="181319"/>
        <n v="158897"/>
        <n v="27910"/>
        <n v="78858"/>
        <n v="15515"/>
        <n v="144598"/>
        <n v="182616"/>
        <n v="10828"/>
        <n v="167084"/>
        <n v="74138"/>
        <n v="128173"/>
        <n v="147747"/>
        <n v="189873"/>
        <n v="76662"/>
        <n v="187803"/>
        <n v="74322"/>
        <n v="177908"/>
        <n v="154543"/>
        <n v="165550"/>
        <n v="132642"/>
        <n v="144751"/>
        <n v="81941"/>
        <n v="113103"/>
        <n v="164241"/>
        <n v="91074"/>
        <n v="176006"/>
        <n v="177837"/>
        <n v="89348"/>
        <n v="106550"/>
        <n v="40352"/>
        <n v="191428"/>
        <n v="21960"/>
        <n v="36820"/>
        <n v="167419"/>
        <n v="55554"/>
        <n v="172690"/>
        <n v="57659"/>
        <n v="182971"/>
        <n v="65513"/>
        <n v="65787"/>
        <n v="168068"/>
        <n v="177501"/>
        <n v="152094"/>
        <n v="107097"/>
        <n v="125713"/>
        <n v="10576"/>
        <n v="165848"/>
        <n v="141567"/>
        <n v="80919"/>
        <n v="124210"/>
        <n v="73262"/>
        <n v="174629"/>
        <n v="137080"/>
        <n v="52509"/>
        <n v="173874"/>
        <n v="99044"/>
        <n v="37482"/>
        <n v="52015"/>
        <n v="167966"/>
        <n v="195221"/>
        <n v="42666"/>
        <n v="153130"/>
        <n v="78764"/>
        <n v="191850"/>
        <n v="68228"/>
        <n v="197345"/>
        <n v="56202"/>
        <n v="101708"/>
        <n v="114995"/>
        <n v="164059"/>
        <n v="77054"/>
        <n v="118489"/>
        <n v="15436"/>
        <n v="112438"/>
        <n v="13772"/>
        <n v="38315"/>
        <n v="36409"/>
        <n v="170079"/>
        <n v="71176"/>
        <n v="158845"/>
        <n v="184777"/>
        <n v="187041"/>
        <n v="130561"/>
        <n v="144740"/>
        <n v="117710"/>
        <n v="88250"/>
        <n v="107036"/>
        <n v="96493"/>
        <n v="114882"/>
        <n v="18272"/>
        <n v="63335"/>
        <n v="178789"/>
        <n v="190319"/>
        <n v="153860"/>
        <n v="92759"/>
        <n v="89027"/>
        <n v="194889"/>
        <n v="168748"/>
        <n v="102406"/>
        <n v="127402"/>
        <n v="91353"/>
        <n v="65111"/>
        <n v="53366"/>
        <n v="126175"/>
        <n v="177785"/>
        <n v="15209"/>
        <n v="10514"/>
        <n v="19538"/>
        <n v="113607"/>
        <n v="122200"/>
        <n v="52020"/>
        <n v="195336"/>
        <n v="82320"/>
        <n v="123237"/>
        <n v="192131"/>
        <n v="137120"/>
        <n v="120699"/>
        <n v="110553"/>
        <n v="163823"/>
        <n v="149099"/>
        <n v="107262"/>
        <n v="133790"/>
        <n v="122349"/>
        <n v="169884"/>
        <n v="103803"/>
        <n v="109576"/>
        <n v="41942"/>
        <n v="159834"/>
        <n v="64249"/>
        <n v="99939"/>
        <n v="80875"/>
        <n v="76785"/>
        <n v="69332"/>
        <n v="113095"/>
        <n v="84016"/>
        <n v="141934"/>
        <n v="157960"/>
        <n v="12605"/>
        <n v="165566"/>
        <n v="172999"/>
        <n v="158294"/>
        <n v="179427"/>
        <n v="156793"/>
        <n v="10555"/>
        <n v="6446"/>
        <n v="146408"/>
        <n v="131525"/>
        <n v="184715"/>
        <n v="154611"/>
        <n v="27661"/>
        <n v="178360"/>
        <n v="181512"/>
        <n v="130188"/>
        <n v="178037"/>
        <n v="98484"/>
        <n v="110690"/>
        <n v="79522"/>
        <n v="20342"/>
        <n v="59523"/>
        <n v="136077"/>
        <n v="80274"/>
        <n v="10794"/>
        <n v="155702"/>
        <n v="107812"/>
        <n v="136413"/>
        <n v="71807"/>
        <n v="21862"/>
        <n v="112060"/>
        <n v="119925"/>
        <n v="190350"/>
        <n v="101965"/>
        <n v="110774"/>
        <n v="141856"/>
        <n v="98980"/>
        <n v="94652"/>
        <n v="183179"/>
        <n v="150352"/>
        <n v="22289"/>
        <n v="118861"/>
        <n v="173182"/>
        <n v="26582"/>
        <n v="157966"/>
        <n v="64898"/>
        <n v="48392"/>
        <n v="62543"/>
        <n v="70765"/>
        <n v="4236"/>
        <n v="156555"/>
        <n v="171568"/>
        <n v="3898"/>
        <n v="138964"/>
        <n v="13347"/>
        <n v="148234"/>
        <n v="97936"/>
        <n v="196365"/>
        <n v="100003"/>
        <n v="199161"/>
        <n v="113529"/>
        <n v="167739"/>
        <n v="141839"/>
        <n v="179104"/>
        <n v="178943"/>
        <n v="51339"/>
        <n v="169360"/>
        <n v="12874"/>
        <n v="100724"/>
        <n v="3614"/>
        <n v="51030"/>
        <n v="86624"/>
        <n v="101351"/>
        <n v="39943"/>
        <n v="25227"/>
        <n v="42761"/>
        <n v="118470"/>
        <n v="92757"/>
        <n v="86692"/>
        <n v="88956"/>
        <n v="104769"/>
        <n v="199311"/>
        <n v="106444"/>
        <n v="33892"/>
        <n v="156012"/>
      </sharedItems>
    </cacheField>
    <cacheField name="Total Sales" numFmtId="0">
      <sharedItems containsString="0" containsBlank="1" containsNumber="1" containsInteger="1" minValue="281209992" maxValue="281209992" count="2">
        <n v="281209992"/>
        <m/>
      </sharedItems>
    </cacheField>
    <cacheField name="Avarage" numFmtId="0">
      <sharedItems containsString="0" containsBlank="1" containsNumber="1" minValue="140604.996" maxValue="140604.996" count="2">
        <n v="140604.996"/>
        <m/>
      </sharedItems>
    </cacheField>
    <cacheField name="Total orders count" numFmtId="0">
      <sharedItems containsString="0" containsBlank="1" containsNumber="1" containsInteger="1" minValue="2000" maxValue="2000" count="2">
        <n v="2000"/>
        <m/>
      </sharedItems>
    </cacheField>
    <cacheField name="achivement" numFmtId="9">
      <sharedItems containsSemiMixedTypes="0" containsString="0" containsNumber="1" minValue="0.00438922323016841" maxValue="170.954703832753" count="2000">
        <n v="1.50134396559448"/>
        <n v="7.03710985500123"/>
        <n v="0.886076337594758"/>
        <n v="3.01224186966737"/>
        <n v="1.85589250967151"/>
        <n v="1.43755532650215"/>
        <n v="1.60993912531209"/>
        <n v="3.46639559913896"/>
        <n v="1.46948333498825"/>
        <n v="7.02721263627779"/>
        <n v="4.1001375827979"/>
        <n v="5.11191647962441"/>
        <n v="1.20990543509409"/>
        <n v="0.174451665312754"/>
        <n v="10.0506295983947"/>
        <n v="0.177206169465053"/>
        <n v="5.64314381270903"/>
        <n v="1.03309168680388"/>
        <n v="0.0736108396847111"/>
        <n v="0.516414014657163"/>
        <n v="1.924108822315"/>
        <n v="57.4349145503913"/>
        <n v="0.409419483985765"/>
        <n v="9.92168985059248"/>
        <n v="0.572871909832493"/>
        <n v="4.36600920932752"/>
        <n v="0.419872079594919"/>
        <n v="1.72726039344898"/>
        <n v="0.942405437648498"/>
        <n v="0.617967506449311"/>
        <n v="30.6456367924528"/>
        <n v="0.313277397945375"/>
        <n v="1.00426290004454"/>
        <n v="1.11092276165506"/>
        <n v="2.83227902205505"/>
        <n v="0.128331339595631"/>
        <n v="1.77409325702495"/>
        <n v="6.97652132247245"/>
        <n v="6.67466498003716"/>
        <n v="1.1009846052641"/>
        <n v="2.81892670748064"/>
        <n v="0.251190424989401"/>
        <n v="1.39705670731122"/>
        <n v="1.11311835837303"/>
        <n v="3.28008371581659"/>
        <n v="3.32575071354104"/>
        <n v="0.313364005118014"/>
        <n v="0.082437522120154"/>
        <n v="8.95582170833251"/>
        <n v="2.1302630876781"/>
        <n v="1.55321880769627"/>
        <n v="0.565927654609102"/>
        <n v="1.4381042506762"/>
        <n v="14.0826636050517"/>
        <n v="0.681113196467432"/>
        <n v="0.602546001620183"/>
        <n v="2.61184151685896"/>
        <n v="9.67604975763593"/>
        <n v="0.799351239133256"/>
        <n v="1.56981945814503"/>
        <n v="12.5882352941176"/>
        <n v="2.73196340553112"/>
        <n v="0.872429057765306"/>
        <n v="1.97872764906856"/>
        <n v="0.207385470808655"/>
        <n v="25.7076751946607"/>
        <n v="0.521734261035125"/>
        <n v="0.205354634126761"/>
        <n v="0.628334191645914"/>
        <n v="0.881224556930795"/>
        <n v="0.0931026751065041"/>
        <n v="5.44944086429113"/>
        <n v="0.818115547517325"/>
        <n v="0.109316033702357"/>
        <n v="0.493784007045475"/>
        <n v="1.0492511052297"/>
        <n v="2.64569666195239"/>
        <n v="1.72124588106073"/>
        <n v="1.42877696185631"/>
        <n v="3.28782855385036"/>
        <n v="0.180520663233262"/>
        <n v="1.77855274629468"/>
        <n v="3.65933293995336"/>
        <n v="1.49096786461304"/>
        <n v="1.44442781068885"/>
        <n v="2.25699299667829"/>
        <n v="3.88952334669744"/>
        <n v="0.852899964282771"/>
        <n v="0.194875872542055"/>
        <n v="1.78696751170917"/>
        <n v="2.98247906684091"/>
        <n v="0.76020102010201"/>
        <n v="2.5807530393044"/>
        <n v="1.5848038375878"/>
        <n v="6.01828989483311"/>
        <n v="1.0321439848437"/>
        <n v="0.620793722649766"/>
        <n v="1.42419409657769"/>
        <n v="7.85336208586552"/>
        <n v="1.26699590729844"/>
        <n v="2.76983489217871"/>
        <n v="0.113459484857546"/>
        <n v="0.676913124730462"/>
        <n v="7.30276581274088"/>
        <n v="2.53049983197697"/>
        <n v="0.110337293458965"/>
        <n v="0.366682436757298"/>
        <n v="4.1774977250485"/>
        <n v="1.95724822436715"/>
        <n v="23.8831670421629"/>
        <n v="1.35962471883509"/>
        <n v="1.24321207766749"/>
        <n v="1.13517452157105"/>
        <n v="1.79993583042673"/>
        <n v="1.90376056247178"/>
        <n v="0.272648272865523"/>
        <n v="0.806767138842773"/>
        <n v="1.19791579405901"/>
        <n v="0.62835152583215"/>
        <n v="0.119643459678326"/>
        <n v="10.3487521601093"/>
        <n v="0.342274052478134"/>
        <n v="1.67710768402819"/>
        <n v="0.683074987644337"/>
        <n v="0.128543610180237"/>
        <n v="2.59547641369089"/>
        <n v="1.81092346902318"/>
        <n v="0.725811176399635"/>
        <n v="0.213408863439843"/>
        <n v="0.497565758719373"/>
        <n v="1.28135274399312"/>
        <n v="12.8701101154062"/>
        <n v="1.56044133043408"/>
        <n v="0.198793231744799"/>
        <n v="1.13066585183528"/>
        <n v="0.612665930356138"/>
        <n v="4.17663973709434"/>
        <n v="1.9976536783717"/>
        <n v="1.10852343228023"/>
        <n v="4.28805189206138"/>
        <n v="1.17260814968895"/>
        <n v="4.16921458191496"/>
        <n v="0.189672384988387"/>
        <n v="10.0886262924668"/>
        <n v="2.77107025480948"/>
        <n v="0.61462295341385"/>
        <n v="1.07605896456798"/>
        <n v="0.100751960180899"/>
        <n v="11.5212859659425"/>
        <n v="1.06416584402764"/>
        <n v="0.182992133738752"/>
        <n v="1.30886802699977"/>
        <n v="24.0269720858744"/>
        <n v="0.868896230257501"/>
        <n v="0.635365766167925"/>
        <n v="4.75862737495153"/>
        <n v="0.0134328602709506"/>
        <n v="6.77591188154568"/>
        <n v="7.40980457000677"/>
        <n v="5.13145822918811"/>
        <n v="0.168388760157958"/>
        <n v="13.0796605122097"/>
        <n v="0.816945125689761"/>
        <n v="2.84802007013143"/>
        <n v="1.21558480208988"/>
        <n v="1.52880759072679"/>
        <n v="0.675436750157862"/>
        <n v="2.88946607048922"/>
        <n v="0.595923744727709"/>
        <n v="4.83721828547072"/>
        <n v="2.47625925257267"/>
        <n v="2.84358922963854"/>
        <n v="6.56419698314108"/>
        <n v="0.436930328755922"/>
        <n v="11.0791366906475"/>
        <n v="0.667961967755271"/>
        <n v="0.446004767333402"/>
        <n v="0.100319031502845"/>
        <n v="4.85592507430879"/>
        <n v="0.185665104962079"/>
        <n v="0.185919260700389"/>
        <n v="3.79658212137606"/>
        <n v="1.04882869455335"/>
        <n v="3.33292533659731"/>
        <n v="2.13802027172741"/>
        <n v="0.276028737094185"/>
        <n v="0.522437556107092"/>
        <n v="1.37253265450903"/>
        <n v="0.573620288136526"/>
        <n v="55.4826624153049"/>
        <n v="10.4244773008533"/>
        <n v="0.287994632104956"/>
        <n v="0.74869640787949"/>
        <n v="1.12896544105463"/>
        <n v="0.840575079872205"/>
        <n v="2.36985948334049"/>
        <n v="4.9065645185519"/>
        <n v="2.67218259629101"/>
        <n v="0.181259132976133"/>
        <n v="34.4127174565087"/>
        <n v="0.378404789390319"/>
        <n v="12.066284977018"/>
        <n v="1.65423496217252"/>
        <n v="5.05282210502054"/>
        <n v="3.37091230113263"/>
        <n v="3.93685298150098"/>
        <n v="8.07002607353802"/>
        <n v="0.263160732579665"/>
        <n v="3.99000624609619"/>
        <n v="0.138108667655641"/>
        <n v="0.403821926180943"/>
        <n v="0.169740899010115"/>
        <n v="0.1003069617808"/>
        <n v="0.316725888964492"/>
        <n v="9.48767274737424"/>
        <n v="0.143403170093941"/>
        <n v="2.97727342244517"/>
        <n v="0.239482740457211"/>
        <n v="2.84323759934605"/>
        <n v="1.68414779499404"/>
        <n v="1.62547910829996"/>
        <n v="0.869740154648445"/>
        <n v="2.03767092600226"/>
        <n v="1.68816811752184"/>
        <n v="1.88007988116202"/>
        <n v="0.194315715375139"/>
        <n v="1.10091106901109"/>
        <n v="5.37409855769231"/>
        <n v="0.326647427031953"/>
        <n v="1.04036466629212"/>
        <n v="13.3947604343062"/>
        <n v="1.42710888755819"/>
        <n v="10.2782064013444"/>
        <n v="1.30227095480373"/>
        <n v="0.384154509878379"/>
        <n v="3.61827969174977"/>
        <n v="0.00692345250961438"/>
        <n v="5.22104863702486"/>
        <n v="9.55154300722259"/>
        <n v="0.437451510651032"/>
        <n v="1.79080559785367"/>
        <n v="0.437979043368584"/>
        <n v="6.46062034216526"/>
        <n v="0.497063043904655"/>
        <n v="2.48688312105663"/>
        <n v="0.876814356508225"/>
        <n v="11.7688899827714"/>
        <n v="2.74480597858188"/>
        <n v="7.7083447546697"/>
        <n v="0.659518697559241"/>
        <n v="1.56581389400786"/>
        <n v="2.02341914761014"/>
        <n v="0.880647281090849"/>
        <n v="0.698149845880646"/>
        <n v="1.7959465828751"/>
        <n v="3.6129715981348"/>
        <n v="1.53606592013522"/>
        <n v="0.166154870134782"/>
        <n v="0.154466312116798"/>
        <n v="0.19681357091702"/>
        <n v="1.17482669632119"/>
        <n v="3.59911388250738"/>
        <n v="1.71473608789109"/>
        <n v="1.53241025156341"/>
        <n v="4.70179099090971"/>
        <n v="0.271171257638289"/>
        <n v="2.25489357333516"/>
        <n v="0.970565458177961"/>
        <n v="2.10045627376426"/>
        <n v="1.54503185810229"/>
        <n v="1.89311484125779"/>
        <n v="0.986513256628314"/>
        <n v="0.581015014269761"/>
        <n v="0.393453386497781"/>
        <n v="3.98339290624141"/>
        <n v="0.596286287158923"/>
        <n v="3.29246268968689"/>
        <n v="2.55955954626358"/>
        <n v="0.218858271313417"/>
        <n v="2.46772507838551"/>
        <n v="0.91102102894009"/>
        <n v="0.52463367055301"/>
        <n v="0.755163441209953"/>
        <n v="1.27059796686911"/>
        <n v="2.14318569287275"/>
        <n v="1.82890880882606"/>
        <n v="3.14443685648245"/>
        <n v="0.209447080557749"/>
        <n v="13.6204819277108"/>
        <n v="11.6115196078431"/>
        <n v="0.566412420454033"/>
        <n v="1.04708830192599"/>
        <n v="86.7511076361741"/>
        <n v="0.443357671902085"/>
        <n v="2.26534195304525"/>
        <n v="1.27749353868875"/>
        <n v="1.12560126475832"/>
        <n v="3.57689812903824"/>
        <n v="1.83280103732454"/>
        <n v="0.294654092598753"/>
        <n v="0.549759615384615"/>
        <n v="0.0479448864136314"/>
        <n v="1.71363164641963"/>
        <n v="1.90587231622352"/>
        <n v="3.07957515071541"/>
        <n v="0.086427836497989"/>
        <n v="1.01969823078729"/>
        <n v="0.393079730673448"/>
        <n v="2.47289965289089"/>
        <n v="0.268675191815857"/>
        <n v="0.839844610248324"/>
        <n v="0.339323623796593"/>
        <n v="0.0104424000848729"/>
        <n v="1.05896359645046"/>
        <n v="0.113923564432495"/>
        <n v="5.75045797497439"/>
        <n v="1.44647830474268"/>
        <n v="4.9344966442953"/>
        <n v="0.451216108261066"/>
        <n v="3.87079180245163"/>
        <n v="0.229212682081248"/>
        <n v="0.413869202829538"/>
        <n v="0.28350377469615"/>
        <n v="1.22422510441855"/>
        <n v="0.417713866772994"/>
        <n v="0.724728274735929"/>
        <n v="0.569074611125758"/>
        <n v="0.438647995050897"/>
        <n v="0.352548939261301"/>
        <n v="1.30943341194929"/>
        <n v="0.629213131186568"/>
        <n v="0.0127405394436161"/>
        <n v="9.04318374259102"/>
        <n v="2.2694624652456"/>
        <n v="0.861259356906835"/>
        <n v="0.295953462697975"/>
        <n v="1.20410815608457"/>
        <n v="2.44059334148211"/>
        <n v="1.81337188290567"/>
        <n v="0.56695062760223"/>
        <n v="2.36354459586127"/>
        <n v="2.20674683652775"/>
        <n v="50.2179091310101"/>
        <n v="2.02368573079145"/>
        <n v="0.272135221594564"/>
        <n v="0.561476197595199"/>
        <n v="1.54408457040036"/>
        <n v="1.31614736628438"/>
        <n v="0.112183578343492"/>
        <n v="0.706676136363636"/>
        <n v="1.23201183095387"/>
        <n v="1.61221413497567"/>
        <n v="0.234360410830999"/>
        <n v="3.04797689872317"/>
        <n v="0.894944105691057"/>
        <n v="1.77704819229336"/>
        <n v="0.235159228365867"/>
        <n v="0.533633065426077"/>
        <n v="0.233254394310835"/>
        <n v="0.44289367058731"/>
        <n v="1.4830241967791"/>
        <n v="1.27182841191316"/>
        <n v="10.1817701453104"/>
        <n v="1.05473757352853"/>
        <n v="0.353983698742655"/>
        <n v="1.49512323020451"/>
        <n v="0.393140752675797"/>
        <n v="3.10841756967264"/>
        <n v="0.378249062459589"/>
        <n v="0.0306937033084312"/>
        <n v="1.35896927875553"/>
        <n v="0.374450727727821"/>
        <n v="5.65602605863192"/>
        <n v="0.341667237482019"/>
        <n v="0.765662939339194"/>
        <n v="0.0844500248955469"/>
        <n v="2.10929882102651"/>
        <n v="1.45801790889821"/>
        <n v="9.69969469886206"/>
        <n v="1.08188014517128"/>
        <n v="13.6481003319808"/>
        <n v="0.376014978512044"/>
        <n v="3.56858947042188"/>
        <n v="6.28315048891009"/>
        <n v="14.4269743101808"/>
        <n v="0.184711065042757"/>
        <n v="2.34217032444563"/>
        <n v="1.40153141450742"/>
        <n v="1.87295850066934"/>
        <n v="0.502737469954598"/>
        <n v="2.817104725589"/>
        <n v="1.44870837688517"/>
        <n v="3.18612849452081"/>
        <n v="1.63379733352922"/>
        <n v="0.757231315866637"/>
        <n v="1.60054835709187"/>
        <n v="0.242605921850894"/>
        <n v="2.66996986697371"/>
        <n v="0.0183972210620677"/>
        <n v="0.0537283980147103"/>
        <n v="1.49440761172124"/>
        <n v="0.502942098116361"/>
        <n v="3.93569352121021"/>
        <n v="2.45312821039655"/>
        <n v="0.915233778682414"/>
        <n v="0.404850227452791"/>
        <n v="3.74595992243051"/>
        <n v="2.22800551264383"/>
        <n v="1.05034071889695"/>
        <n v="3.20443936140416"/>
        <n v="0.783128972685106"/>
        <n v="0.00805188759099374"/>
        <n v="8.19656209254677"/>
        <n v="5.949048592546"/>
        <n v="2.4693620615468"/>
        <n v="1.44162122442665"/>
        <n v="0.253977624107494"/>
        <n v="0.0181251109364303"/>
        <n v="2.91196926541697"/>
        <n v="0.213997425660493"/>
        <n v="0.419359079704191"/>
        <n v="0.050032154340836"/>
        <n v="0.448271105722811"/>
        <n v="3.88268133492057"/>
        <n v="9.01907131011609"/>
        <n v="1.30468347915594"/>
        <n v="0.706320042294613"/>
        <n v="2.19133494002604"/>
        <n v="2.24058703393381"/>
        <n v="1.6367843113915"/>
        <n v="22.5461777931512"/>
        <n v="0.558798364265492"/>
        <n v="0.00438922323016841"/>
        <n v="0.967182182397794"/>
        <n v="0.136304749304005"/>
        <n v="0.555282219488862"/>
        <n v="0.718630421800005"/>
        <n v="5.83774927970171"/>
        <n v="9.35633285417665"/>
        <n v="1.08584916534806"/>
        <n v="4.03524668279452"/>
        <n v="0.298925994842164"/>
        <n v="5.2182320441989"/>
        <n v="1.28609827130147"/>
        <n v="4.62059959118783"/>
        <n v="0.439153785695572"/>
        <n v="0.723349644341752"/>
        <n v="0.166502145922747"/>
        <n v="5.29933562817843"/>
        <n v="4.66615951136689"/>
        <n v="1.87787695808174"/>
        <n v="0.59640351245746"/>
        <n v="2.25396773293506"/>
        <n v="0.14162301677674"/>
        <n v="0.699639456411205"/>
        <n v="0.0747125402623576"/>
        <n v="1.22455958028127"/>
        <n v="0.017855746422334"/>
        <n v="0.0846750473866533"/>
        <n v="0.753240079931487"/>
        <n v="0.543183366236045"/>
        <n v="0.679172952347147"/>
        <n v="1.48037246667884"/>
        <n v="1.13289892311322"/>
        <n v="13.7635858234885"/>
        <n v="0.412929503011396"/>
        <n v="6.55107868020305"/>
        <n v="2.64121583069661"/>
        <n v="5.55262036642522"/>
        <n v="1.70498069645656"/>
        <n v="2.42791336561542"/>
        <n v="0.295834203382752"/>
        <n v="0.480768204854628"/>
        <n v="0.234856822010107"/>
        <n v="0.392358718707359"/>
        <n v="0.770343552690198"/>
        <n v="1.55558135130347"/>
        <n v="1.24140567290159"/>
        <n v="3.00708462732919"/>
        <n v="0.767888633570245"/>
        <n v="0.446655629900439"/>
        <n v="6.58879984644177"/>
        <n v="0.188990975762698"/>
        <n v="0.165412513383499"/>
        <n v="3.12386131883073"/>
        <n v="1.44584324147899"/>
        <n v="1.48463222711274"/>
        <n v="5.08171941426547"/>
        <n v="0.0927271315593908"/>
        <n v="0.304303538253673"/>
        <n v="3.69502491261992"/>
        <n v="0.828347768154564"/>
        <n v="1.59639162060812"/>
        <n v="0.363770695503241"/>
        <n v="3.5166762507188"/>
        <n v="1.42814629931842"/>
        <n v="0.165097236438076"/>
        <n v="4.23086876980054"/>
        <n v="2.02888389547547"/>
        <n v="0.504828797190518"/>
        <n v="1.39352676677696"/>
        <n v="0.433628318584071"/>
        <n v="0.11929266862879"/>
        <n v="0.962116382843093"/>
        <n v="12.2902800658979"/>
        <n v="2.88808452127722"/>
        <n v="0.0576108607785879"/>
        <n v="2.03878371246465"/>
        <n v="1.58415321066466"/>
        <n v="2.10673866537851"/>
        <n v="0.179841717456563"/>
        <n v="1.86444154107924"/>
        <n v="0.495911759052534"/>
        <n v="0.756077493471517"/>
        <n v="1.0323969717226"/>
        <n v="1.96546093121728"/>
        <n v="2.1208331067486"/>
        <n v="0.114414078742028"/>
        <n v="1.8365699259117"/>
        <n v="2.82884646761299"/>
        <n v="1.40078577819271"/>
        <n v="1.24135971588026"/>
        <n v="1.89012874469262"/>
        <n v="0.034297729684695"/>
        <n v="0.877061664998477"/>
        <n v="3.60132430841672"/>
        <n v="0.210625728408954"/>
        <n v="0.627015951997659"/>
        <n v="1.20657848255289"/>
        <n v="0.193241544201002"/>
        <n v="2.20291087270246"/>
        <n v="0.583888387084197"/>
        <n v="2.53883548626987"/>
        <n v="1.95190353345841"/>
        <n v="0.348555500560085"/>
        <n v="4.30029381265123"/>
        <n v="2.87845630637291"/>
        <n v="0.699788943014614"/>
        <n v="7.35423714827956"/>
        <n v="1.30564413678671"/>
        <n v="1.44821726940613"/>
        <n v="0.10668666635277"/>
        <n v="0.24045522286953"/>
        <n v="1.56939429704796"/>
        <n v="0.414439933795012"/>
        <n v="0.372618072327613"/>
        <n v="0.296442002738254"/>
        <n v="0.288723553733286"/>
        <n v="1.06411832996517"/>
        <n v="2.61503634740467"/>
        <n v="0.2629864299823"/>
        <n v="4.00485563619276"/>
        <n v="2.96425523845643"/>
        <n v="0.797032908925633"/>
        <n v="0.0721175084670888"/>
        <n v="0.340195547949515"/>
        <n v="5.73327685926272"/>
        <n v="0.472860377358491"/>
        <n v="1.93122001114317"/>
        <n v="2.18582039162728"/>
        <n v="0.495553552449246"/>
        <n v="2.26030220717708"/>
        <n v="0.837631245679803"/>
        <n v="2.06040358389319"/>
        <n v="6.95648389904265"/>
        <n v="1.729756502844"/>
        <n v="14.3524578136464"/>
        <n v="17.8180592991914"/>
        <n v="0.231784126210635"/>
        <n v="1.20301520177328"/>
        <n v="0.242068570767064"/>
        <n v="0.863806363758415"/>
        <n v="0.0748145158786825"/>
        <n v="0.540242481571631"/>
        <n v="0.57985530232255"/>
        <n v="3.45133128877117"/>
        <n v="1.25531275490491"/>
        <n v="0.717774005819593"/>
        <n v="6.31008551013237"/>
        <n v="1.25274947709331"/>
        <n v="1.63922764227642"/>
        <n v="0.289015994068425"/>
        <n v="0.0274857596077583"/>
        <n v="5.27357101868716"/>
        <n v="0.619905213270142"/>
        <n v="3.72304644023434"/>
        <n v="2.33174311926606"/>
        <n v="0.747467627217809"/>
        <n v="1.61334991859806"/>
        <n v="0.39631044265179"/>
        <n v="1.92463656175002"/>
        <n v="0.978197739642163"/>
        <n v="0.422758879367552"/>
        <n v="0.509207428465364"/>
        <n v="1.49796164344713"/>
        <n v="0.630302634159095"/>
        <n v="1.65247422762734"/>
        <n v="0.0330773296850222"/>
        <n v="5.43391914685239"/>
        <n v="0.294986999479979"/>
        <n v="4.23595057791949"/>
        <n v="0.27605568640646"/>
        <n v="15.1947873799726"/>
        <n v="0.488757365526072"/>
        <n v="0.408825448525407"/>
        <n v="1.69857429384463"/>
        <n v="0.828192586481231"/>
        <n v="2.00569413066531"/>
        <n v="6.03834059941365"/>
        <n v="1.80525569452074"/>
        <n v="0.0410258665230248"/>
        <n v="4.37221907931955"/>
        <n v="0.89365443054623"/>
        <n v="0.207803480751704"/>
        <n v="3.70303369692248"/>
        <n v="2.66694064962304"/>
        <n v="1.34853972257251"/>
        <n v="0.105342973975682"/>
        <n v="1.43648155212818"/>
        <n v="14.6858453199917"/>
        <n v="0.818037032866267"/>
        <n v="7.68573113207547"/>
        <n v="59.9945280437757"/>
        <n v="0.621524160589791"/>
        <n v="0.150708651317899"/>
        <n v="0.159950120632167"/>
        <n v="1.09453093068114"/>
        <n v="0.779508100262817"/>
        <n v="0.172074703949084"/>
        <n v="0.212065124250214"/>
        <n v="0.477181233785321"/>
        <n v="0.44798792964471"/>
        <n v="1.48631453093642"/>
        <n v="0.324331816396775"/>
        <n v="0.554233621755253"/>
        <n v="1.23013385665329"/>
        <n v="10.0772311212815"/>
        <n v="1.14997948297087"/>
        <n v="0.935220675127164"/>
        <n v="1.79712982534209"/>
        <n v="0.966740478787278"/>
        <n v="0.209551285108006"/>
        <n v="0.622340425531915"/>
        <n v="2.53525728287503"/>
        <n v="0.323405550763611"/>
        <n v="3.89380745041122"/>
        <n v="2.1702873372209"/>
        <n v="0.696021247786689"/>
        <n v="0.884676096443715"/>
        <n v="0.362712738200771"/>
        <n v="0.0783584066108698"/>
        <n v="0.82319876515206"/>
        <n v="2.02792206437616"/>
        <n v="2.65996907102618"/>
        <n v="0.627062247977141"/>
        <n v="0.459093149334648"/>
        <n v="0.508814589665654"/>
        <n v="3.42488860598345"/>
        <n v="0.949228135747601"/>
        <n v="0.302422084228494"/>
        <n v="2.08894637851393"/>
        <n v="7.96911929612697"/>
        <n v="0.124201380015334"/>
        <n v="10.2634207240949"/>
        <n v="0.26240907635299"/>
        <n v="0.289086835346194"/>
        <n v="0.150489165334106"/>
        <n v="1.12385124013057"/>
        <n v="1.5084981765941"/>
        <n v="2.87140347689139"/>
        <n v="3.12670275308288"/>
        <n v="0.796419322911724"/>
        <n v="1.36535657305587"/>
        <n v="2.04822925037309"/>
        <n v="0.06841028434608"/>
        <n v="0.161281441346196"/>
        <n v="5.2715433698469"/>
        <n v="1.53806335840983"/>
        <n v="0.280739440256119"/>
        <n v="2.21071001360054"/>
        <n v="1.02042505008275"/>
        <n v="1.18989054639502"/>
        <n v="2.02558396663448"/>
        <n v="0.0531020713340838"/>
        <n v="25.2851711026616"/>
        <n v="2.46284285478569"/>
        <n v="4.00220477761084"/>
        <n v="0.744274225606214"/>
        <n v="0.320711040475409"/>
        <n v="0.0658201118055752"/>
        <n v="0.764279044533822"/>
        <n v="0.331808535722707"/>
        <n v="0.267632670310071"/>
        <n v="3.38699551569507"/>
        <n v="2.95292682519259"/>
        <n v="30.9078665442302"/>
        <n v="2.76434619002822"/>
        <n v="1.58766954377312"/>
        <n v="1.55628884417617"/>
        <n v="4.36208991494532"/>
        <n v="2.81651156247069"/>
        <n v="2.17628143288957"/>
        <n v="0.251291072438274"/>
        <n v="2.25215501086875"/>
        <n v="0.523048300826079"/>
        <n v="0.741271649625773"/>
        <n v="3.35296929479249"/>
        <n v="0.0823336835161613"/>
        <n v="10.5652463875509"/>
        <n v="0.454765845207003"/>
        <n v="0.400276911037313"/>
        <n v="7.76078979910398"/>
        <n v="0.290496114763897"/>
        <n v="0.0680083937428462"/>
        <n v="0.569798038478625"/>
        <n v="0.0733242879967538"/>
        <n v="1.21025075778451"/>
        <n v="1.02510308516782"/>
        <n v="6.58103264385502"/>
        <n v="0.43308991872918"/>
        <n v="1.2579218165594"/>
        <n v="0.941836535937196"/>
        <n v="4.52720631455202"/>
        <n v="6.15942791252807"/>
        <n v="0.222268597743367"/>
        <n v="0.0346440630275746"/>
        <n v="68.5703529411765"/>
        <n v="2.31745095146777"/>
        <n v="0.178866085632892"/>
        <n v="4.24650782353754"/>
        <n v="1.6298750040795"/>
        <n v="1.06844058404789"/>
        <n v="2.77877697841727"/>
        <n v="0.112107409817333"/>
        <n v="0.068569808014666"/>
        <n v="0.373918657904672"/>
        <n v="0.138307329511277"/>
        <n v="3.63076690078186"/>
        <n v="1.09790562011777"/>
        <n v="1.30725186777634"/>
        <n v="1.85490074383352"/>
        <n v="1.68259835876984"/>
        <n v="0.0728703742160568"/>
        <n v="5.29782023293698"/>
        <n v="0.563263813458946"/>
        <n v="0.691982091982092"/>
        <n v="11.4906432023795"/>
        <n v="1.74405212412386"/>
        <n v="4.91435472433966"/>
        <n v="2.86359520346843"/>
        <n v="0.60902304681838"/>
        <n v="0.616567330216068"/>
        <n v="1.80919873219843"/>
        <n v="0.408542831401878"/>
        <n v="4.0518139013918"/>
        <n v="0.576771334378209"/>
        <n v="0.239640088421184"/>
        <n v="0.745449771989202"/>
        <n v="0.16898671319286"/>
        <n v="1.27563436556471"/>
        <n v="0.213971360504137"/>
        <n v="0.107344295205774"/>
        <n v="2.19811020278161"/>
        <n v="9.87744227353464"/>
        <n v="0.367738585759075"/>
        <n v="0.642817348672665"/>
        <n v="0.841940805919408"/>
        <n v="2.07247301913779"/>
        <n v="2.15257041926188"/>
        <n v="1.5587046584889"/>
        <n v="0.0564442696350735"/>
        <n v="2.679068144141"/>
        <n v="0.140487942628207"/>
        <n v="0.119247935462313"/>
        <n v="170.954703832753"/>
        <n v="0.990212551972821"/>
        <n v="0.67822280693206"/>
        <n v="4.20869428668638"/>
        <n v="0.117633031273421"/>
        <n v="0.165665254603614"/>
        <n v="4.16539662008267"/>
        <n v="0.263613825956017"/>
        <n v="1.20748137957209"/>
        <n v="6.12645590682196"/>
        <n v="1.55929771826752"/>
        <n v="0.448997447175713"/>
        <n v="1.34216172825171"/>
        <n v="1.15291777042549"/>
        <n v="0.727160188165388"/>
        <n v="15.5736349793344"/>
        <n v="0.760161615716191"/>
        <n v="0.691653694168363"/>
        <n v="3.78380839632092"/>
        <n v="0.465422580877585"/>
        <n v="0.29336097338356"/>
        <n v="0.0180997141762678"/>
        <n v="2.58566328626039"/>
        <n v="3.47854880506767"/>
        <n v="2.71423714985042"/>
        <n v="1.65613465735736"/>
        <n v="1.48399101700353"/>
        <n v="6.85986960549545"/>
        <n v="4.39202794329156"/>
        <n v="0.726220540872144"/>
        <n v="0.0464102802868051"/>
        <n v="3.40872534483533"/>
        <n v="1.14787729207732"/>
        <n v="0.0743761337825272"/>
        <n v="4.85606325353835"/>
        <n v="0.864944659217285"/>
        <n v="3.69229001053539"/>
        <n v="2.1566759228594"/>
        <n v="0.394385285575992"/>
        <n v="1.1234312925886"/>
        <n v="0.557396571495781"/>
        <n v="0.0708976896907339"/>
        <n v="8.17861508592795"/>
        <n v="1.25779197127768"/>
        <n v="3.67258515137174"/>
        <n v="0.374582625505243"/>
        <n v="0.456352563018102"/>
        <n v="1.43915835073876"/>
        <n v="0.458354216744234"/>
        <n v="1.34374644890032"/>
        <n v="3.01408936967744"/>
        <n v="2.84285195459498"/>
        <n v="1.35568966713242"/>
        <n v="1.07514501669889"/>
        <n v="6.19808208668968"/>
        <n v="1.07840536678446"/>
        <n v="6.00924869377215"/>
        <n v="1.42283440924786"/>
        <n v="1.3161830280579"/>
        <n v="0.0825867242571329"/>
        <n v="0.604739050465571"/>
        <n v="0.245457321728508"/>
        <n v="2.76926759551954"/>
        <n v="1.85535901193218"/>
        <n v="0.018336855914292"/>
        <n v="0.871762368096478"/>
        <n v="0.685117371160229"/>
        <n v="5.77680654772589"/>
        <n v="6.46344324724313"/>
        <n v="5.34008104522905"/>
        <n v="2.4344546129112"/>
        <n v="2.90291926902614"/>
        <n v="5.69307461406518"/>
        <n v="10.5725013220518"/>
        <n v="9.40627037278492"/>
        <n v="0.966113914924297"/>
        <n v="0.758716104039845"/>
        <n v="3.89901861252115"/>
        <n v="3.94717450375351"/>
        <n v="1.90830262085382"/>
        <n v="0.754881289198231"/>
        <n v="0.972195092003996"/>
        <n v="1.66347950919581"/>
        <n v="2.25735417154714"/>
        <n v="1.23946531909691"/>
        <n v="2.91912298910223"/>
        <n v="0.317170224933283"/>
        <n v="1.60962346100004"/>
        <n v="0.184953512837281"/>
        <n v="1.77142340605038"/>
        <n v="1.64262255200097"/>
        <n v="7.26727022239717"/>
        <n v="1.72072951388249"/>
        <n v="0.00961129257791558"/>
        <n v="1.64542174375961"/>
        <n v="4.10948121645796"/>
        <n v="2.36875492169044"/>
        <n v="1.06397948562889"/>
        <n v="12.6764526703606"/>
        <n v="6.66780176345394"/>
        <n v="3.65221152182688"/>
        <n v="2.36500026790977"/>
        <n v="7.81916075549098"/>
        <n v="1.9127678213485"/>
        <n v="0.134842317154999"/>
        <n v="2.58763846956756"/>
        <n v="1.62005238649593"/>
        <n v="0.694448907455013"/>
        <n v="0.524267505675826"/>
        <n v="5.0603487024201"/>
        <n v="0.0397744842514467"/>
        <n v="0.878693041433941"/>
        <n v="2.03584280191183"/>
        <n v="0.279539651077659"/>
        <n v="0.879322606226497"/>
        <n v="0.722860138875122"/>
        <n v="0.470588938142975"/>
        <n v="0.386657796056611"/>
        <n v="0.0531961484998318"/>
        <n v="12.2147297042758"/>
        <n v="0.498119988430698"/>
        <n v="2.08500462820117"/>
        <n v="0.961037668563088"/>
        <n v="0.744495159753223"/>
        <n v="0.183605677280811"/>
        <n v="0.358103457132583"/>
        <n v="0.500075467555812"/>
        <n v="1.99046545631778"/>
        <n v="0.411312164311448"/>
        <n v="0.762211656093531"/>
        <n v="0.680674138078535"/>
        <n v="2.26495726495727"/>
        <n v="0.377225648783894"/>
        <n v="1.53828239418021"/>
        <n v="1.58613163196776"/>
        <n v="1.84316770186335"/>
        <n v="0.0168077205406106"/>
        <n v="0.369025108834264"/>
        <n v="2.03920807453416"/>
        <n v="1.16254596269898"/>
        <n v="0.807327317983821"/>
        <n v="1.22852744452702"/>
        <n v="0.798665473187403"/>
        <n v="2.54367267636218"/>
        <n v="10.3064055782362"/>
        <n v="1.08510700998269"/>
        <n v="3.95537691490975"/>
        <n v="0.401453232748646"/>
        <n v="3.1090333083997"/>
        <n v="0.615403010541419"/>
        <n v="0.807361835786413"/>
        <n v="2.14525424965346"/>
        <n v="0.108386499654224"/>
        <n v="2.35123187308058"/>
        <n v="0.263628528334411"/>
        <n v="0.583639757524301"/>
        <n v="5.81074321105288"/>
        <n v="0.46288890493034"/>
        <n v="1.97533098882913"/>
        <n v="0.284835419668588"/>
        <n v="1.28938906752412"/>
        <n v="2.26582806533389"/>
        <n v="6.16264453293672"/>
        <n v="83.4279687829572"/>
        <n v="0.522757365630197"/>
        <n v="0.718980887300982"/>
        <n v="5.54810531496063"/>
        <n v="1.51787820851808"/>
        <n v="7.41083677424792"/>
        <n v="0.963241193575258"/>
        <n v="1.21924503366452"/>
        <n v="7.49600107405205"/>
        <n v="0.857352671195153"/>
        <n v="8.47068335629155"/>
        <n v="0.675914687012311"/>
        <n v="4.85945244991698"/>
        <n v="1.14839366957881"/>
        <n v="0.0964502832063106"/>
        <n v="1.7788383610986"/>
        <n v="1.46232392730844"/>
        <n v="1.84298436809504"/>
        <n v="0.341424301203328"/>
        <n v="1.70676440531405"/>
        <n v="1.18636151331154"/>
        <n v="2.65257511159151"/>
        <n v="3.60303885752242"/>
        <n v="0.257238543388868"/>
        <n v="1.17616635295826"/>
        <n v="0.376046655589222"/>
        <n v="2.86016023306628"/>
        <n v="1.68649016681069"/>
        <n v="2.06669866528826"/>
        <n v="0.76647341140334"/>
        <n v="1.74731415988256"/>
        <n v="3.13792066075018"/>
        <n v="0.509545492176505"/>
        <n v="1.75820333512641"/>
        <n v="0.261552809170283"/>
        <n v="3.94406280667321"/>
        <n v="5.96273291925466"/>
        <n v="0.741080819635632"/>
        <n v="0.478037170959972"/>
        <n v="4.58489455615498"/>
        <n v="1.46084760951615"/>
        <n v="0.342459110346956"/>
        <n v="0.286921942483936"/>
        <n v="0.0363948249493655"/>
        <n v="0.830396320510335"/>
        <n v="5.34510970621049"/>
        <n v="2.33803884102851"/>
        <n v="0.0274399587878946"/>
        <n v="1.25508977195801"/>
        <n v="4.76530612244898"/>
        <n v="0.054468682457274"/>
        <n v="0.0864378605651706"/>
        <n v="2.37990952521879"/>
        <n v="5.2398578620077"/>
        <n v="2.92553335846212"/>
        <n v="2.60727515637335"/>
        <n v="1.09000743863129"/>
        <n v="0.360666517616424"/>
        <n v="1.40203946177518"/>
        <n v="24.3559837728195"/>
        <n v="1.26384459781057"/>
        <n v="8.85582454458293"/>
        <n v="0.805844678023714"/>
        <n v="2.58968812145317"/>
        <n v="1.47315889451319"/>
        <n v="1.23801558774334"/>
        <n v="2.30709432976222"/>
        <n v="1.3173436707764"/>
        <n v="0.599735690096638"/>
        <n v="5.31987160346372"/>
        <n v="0.279045103257294"/>
        <n v="0.31050946997504"/>
        <n v="5.4018386830629"/>
        <n v="6.83980524164463"/>
        <n v="1.67497779412688"/>
        <n v="0.171819791126057"/>
        <n v="1.37844977232132"/>
        <n v="0.110185155160673"/>
        <n v="0.835782418149008"/>
        <n v="0.430992766830297"/>
        <n v="0.311677177577013"/>
        <n v="3.08473884657236"/>
        <n v="4.29444486778938"/>
        <n v="7.35396274076413"/>
        <n v="1.9408478919457"/>
        <n v="0.101575816814275"/>
        <n v="3.13460395680846"/>
        <n v="0.456033804671923"/>
        <n v="0.706969212710894"/>
        <n v="0.901054074899306"/>
        <n v="1.97347375231386"/>
        <n v="1.13032209214282"/>
        <n v="4.55212315321831"/>
        <n v="7.28735881841877"/>
        <n v="0.615070842539516"/>
        <n v="2.65455050908712"/>
        <n v="0.142624198282422"/>
        <n v="7.39732181425486"/>
        <n v="7.0543938900014"/>
        <n v="0.561129387946929"/>
        <n v="0.387429097041239"/>
        <n v="0.119169648528145"/>
        <n v="0.767091708090195"/>
        <n v="0.258438616641143"/>
        <n v="0.852081769359589"/>
        <n v="0.566828869983559"/>
        <n v="1.44515165210405"/>
        <n v="7.84872591890136"/>
        <n v="1.48371590900136"/>
        <n v="1.61982763293403"/>
        <n v="0.908657285952778"/>
        <n v="6.72136066453997"/>
        <n v="1.36902906883026"/>
        <n v="1.10244619869052"/>
        <n v="3.26368306658763"/>
        <n v="0.0284352484758914"/>
        <n v="0.226194568580268"/>
        <n v="0.127187285283689"/>
        <n v="2.18008576578997"/>
        <n v="7.16758675078864"/>
        <n v="0.823369298549168"/>
        <n v="19.9560862248578"/>
        <n v="0.296574079248868"/>
        <n v="2.32973207318131"/>
        <n v="1.19115432102756"/>
        <n v="0.88434665997171"/>
        <n v="2.39811836603409"/>
        <n v="2.26349675233951"/>
        <n v="2.24048213242712"/>
        <n v="0.727634194831014"/>
        <n v="1.13813334483726"/>
        <n v="0.0301125200928737"/>
        <n v="0.706338475573004"/>
        <n v="1.43236248262094"/>
        <n v="1.98384412702815"/>
        <n v="26.3677911716243"/>
        <n v="0.791231263623902"/>
        <n v="2.71572484881998"/>
        <n v="0.848194209685673"/>
        <n v="7.58142491188197"/>
        <n v="2.74046130085829"/>
        <n v="2.2207014405724"/>
        <n v="0.143859987024572"/>
        <n v="12.0650253515237"/>
        <n v="0.328981924918894"/>
        <n v="1.35130843981942"/>
        <n v="0.815673954812561"/>
        <n v="42.2284667073916"/>
        <n v="0.410102693898774"/>
        <n v="0.282188795350626"/>
        <n v="1.36081369254301"/>
        <n v="0.875064167487548"/>
        <n v="1.37912817726257"/>
        <n v="1.7533274886427"/>
        <n v="0.694110140766439"/>
        <n v="0.198351124488232"/>
        <n v="0.2554849366225"/>
        <n v="0.943264915023451"/>
        <n v="2.40597264861848"/>
        <n v="1.67943633773534"/>
        <n v="6.78014771167972"/>
        <n v="0.387863569784474"/>
        <n v="0.242272108843537"/>
        <n v="1.54875912408759"/>
        <n v="6.17106221768906"/>
        <n v="3.35338433685686"/>
        <n v="2.86526115712097"/>
        <n v="1.11669413298004"/>
        <n v="13.1777822825867"/>
        <n v="0.462334223721824"/>
        <n v="2.95975416336241"/>
        <n v="18.3830468851465"/>
        <n v="1.69887181142173"/>
        <n v="0.640036427798964"/>
        <n v="0.211160968990455"/>
        <n v="2.64248290844036"/>
        <n v="2.95847828062898"/>
        <n v="6.55470106673282"/>
        <n v="26.1301062876169"/>
        <n v="5.78420719548163"/>
        <n v="0.265344002338412"/>
        <n v="2.73602328054172"/>
        <n v="1.81219757952897"/>
        <n v="0.645452721397343"/>
        <n v="2.83183491737306"/>
        <n v="0.802279399067519"/>
        <n v="0.652939303422238"/>
        <n v="0.21054243468847"/>
        <n v="4.32468370519564"/>
        <n v="0.109744148067501"/>
        <n v="0.215919487648673"/>
        <n v="0.606018916595013"/>
        <n v="0.824721856096143"/>
        <n v="2.50643429663946"/>
        <n v="0.091285021760342"/>
        <n v="0.436661363672886"/>
        <n v="0.109066512029345"/>
        <n v="4.78466682114602"/>
        <n v="1.20870338590272"/>
        <n v="0.515686050123429"/>
        <n v="1.60276816608997"/>
        <n v="4.44493545026988"/>
        <n v="0.357722773307797"/>
        <n v="0.355618706369309"/>
        <n v="0.211523820613183"/>
        <n v="0.477418924218027"/>
        <n v="0.19491335941867"/>
        <n v="1.31769000130361"/>
        <n v="2.0023479261885"/>
        <n v="0.739278757681091"/>
        <n v="0.283022875469935"/>
        <n v="0.0275353118552611"/>
        <n v="0.334341839032342"/>
        <n v="1.14779400914859"/>
        <n v="19.8689479432108"/>
        <n v="0.230304367004852"/>
        <n v="0.536669067014717"/>
        <n v="1.35440622212845"/>
        <n v="0.795706664408502"/>
        <n v="1.84851687451561"/>
        <n v="1.97239919854117"/>
        <n v="5.42216325815415"/>
        <n v="1.40923815631526"/>
        <n v="3.78104493728715"/>
        <n v="0.241889769015302"/>
        <n v="37.4878118726699"/>
        <n v="2.59700444652469"/>
        <n v="6.92730386792902"/>
        <n v="1.93191652124023"/>
        <n v="6.51696013415657"/>
        <n v="0.791153463521546"/>
        <n v="0.716209624028712"/>
        <n v="4.67630378318433"/>
        <n v="0.0626936016955433"/>
        <n v="3.35242940001902"/>
        <n v="0.899140636023409"/>
        <n v="0.26222138522195"/>
        <n v="0.0426961403626202"/>
        <n v="2.71658512373254"/>
        <n v="0.459271158264378"/>
        <n v="0.410266111741708"/>
        <n v="10.3083918974783"/>
        <n v="1.00840481386254"/>
        <n v="0.595170558267288"/>
        <n v="0.357048530868273"/>
        <n v="0.486560075027606"/>
        <n v="1.77417353740653"/>
        <n v="0.450792460912401"/>
        <n v="6.21731510690501"/>
        <n v="0.375417192178666"/>
        <n v="1.01203137783339"/>
        <n v="0.282991169732423"/>
        <n v="0.285842091021046"/>
        <n v="1.06602491164121"/>
        <n v="1.09938511440139"/>
        <n v="0.254768062065621"/>
        <n v="0.649543912992633"/>
        <n v="7.09686133721964"/>
        <n v="0.507441082762809"/>
        <n v="0.626425538006394"/>
        <n v="0.846889439336922"/>
        <n v="0.070356871572228"/>
        <n v="7.54995853725956"/>
        <n v="1.19576691368556"/>
        <n v="28.8265570934256"/>
        <n v="0.919246665181776"/>
        <n v="0.394970400099143"/>
        <n v="0.278903364989674"/>
        <n v="2.78740157480315"/>
        <n v="3.09251963564277"/>
        <n v="0.0251222180675004"/>
        <n v="2.78262818716727"/>
        <n v="0.0255771287880146"/>
        <n v="0.350260191048981"/>
        <n v="0.843377379789222"/>
        <n v="0.724389969639042"/>
        <n v="1.2559030328471"/>
        <n v="0.121135104325319"/>
        <n v="9.03398025195778"/>
        <n v="8.44983481519257"/>
        <n v="11.9739060323976"/>
        <n v="0.49039349151442"/>
        <n v="2.2731922738"/>
        <n v="0.152297675588966"/>
        <n v="2.69094755656067"/>
        <n v="17.3540548177451"/>
        <n v="0.594708342956861"/>
        <n v="1.20307867389416"/>
        <n v="0.767220441586101"/>
        <n v="13.0688821752266"/>
        <n v="1.04960494952934"/>
        <n v="2.50619295958279"/>
        <n v="3.01901491037025"/>
        <n v="0.192338451695457"/>
        <n v="0.427534890281855"/>
        <n v="0.0421898374598692"/>
        <n v="0.163585011578135"/>
        <n v="0.174851113812929"/>
        <n v="0.57680598273251"/>
        <n v="0.271284380999449"/>
        <n v="1.44155343780289"/>
        <n v="0.559286592865929"/>
        <n v="13.19745510333"/>
        <n v="3.05203668159522"/>
        <n v="7.87363484653246"/>
        <n v="2.41734566842847"/>
        <n v="0.230376070310437"/>
        <n v="1.23650827778972"/>
        <n v="0.42739974250155"/>
        <n v="3.46113544619084"/>
        <n v="15.3342305441779"/>
        <n v="0.263507486762948"/>
        <n v="1.4345000919512"/>
        <n v="0.322638448155654"/>
        <n v="0.867182576693303"/>
        <n v="0.348069053404782"/>
        <n v="1.08729463598482"/>
        <n v="1.61719651259535"/>
        <n v="1.39901191514095"/>
        <n v="2.62405713948099"/>
        <n v="4.30959375949752"/>
        <n v="0.203324781727149"/>
        <n v="0.382311933980631"/>
        <n v="8.0226818988465"/>
        <n v="0.280851842532653"/>
        <n v="0.633039834259346"/>
        <n v="36.7235854503464"/>
        <n v="2.39401871502688"/>
        <n v="0.224838960208324"/>
        <n v="1.40942732858923"/>
        <n v="1.27154757278272"/>
        <n v="0.657765726943701"/>
        <n v="1.02880253026729"/>
        <n v="0.952746603662138"/>
        <n v="2.99727009042825"/>
        <n v="0.171198545643423"/>
        <n v="1.03444424588992"/>
        <n v="1.36222859394152"/>
        <n v="0.805462019504089"/>
        <n v="0.875885819106869"/>
        <n v="0.657103264785766"/>
        <n v="2.32870976184245"/>
        <n v="33.3632228063081"/>
        <n v="0.994582903145706"/>
        <n v="0.499987987555107"/>
        <n v="2.78720112106969"/>
        <n v="0.0118123950976977"/>
        <n v="0.870184696569921"/>
        <n v="0.0360050093926111"/>
        <n v="0.638210982780639"/>
        <n v="1.21098682165132"/>
        <n v="1.5546620974379"/>
        <n v="2.26360690615661"/>
        <n v="0.774955615371399"/>
        <n v="2.69874940461026"/>
        <n v="0.457576227463032"/>
        <n v="5.83647003004903"/>
        <n v="0.42276113316296"/>
        <n v="0.422206596236773"/>
        <n v="0.442266598691846"/>
        <n v="11.3595753321344"/>
        <n v="3.71861269815724"/>
        <n v="0.866332996602076"/>
        <n v="0.258709234628674"/>
        <n v="0.0740443044079349"/>
        <n v="0.416075972373682"/>
        <n v="1.30075656648374"/>
        <n v="0.39437599770783"/>
        <n v="1.72405676983273"/>
        <n v="0.162987202187507"/>
        <n v="0.82263200537631"/>
        <n v="1.87289729529259"/>
        <n v="0.0825173495579428"/>
        <n v="7.06826724066562"/>
        <n v="0.303189826440363"/>
        <n v="1.39158069414656"/>
        <n v="5.60611990748977"/>
        <n v="0.576118141583079"/>
        <n v="0.959101727865695"/>
        <n v="0.926130816791409"/>
        <n v="1.73036371891237"/>
        <n v="1.38472433509941"/>
        <n v="37.986543313709"/>
        <n v="0.217746012202385"/>
        <n v="1.23769216322807"/>
        <n v="1.48397584765444"/>
        <n v="1.49282670418981"/>
        <n v="2.34315062996549"/>
        <n v="0.724801833635756"/>
        <n v="0.802789135514019"/>
        <n v="1.70635445189312"/>
        <n v="1.95678024785692"/>
        <n v="3.62421524663677"/>
        <n v="0.228828828828829"/>
        <n v="2.20484702269986"/>
        <n v="0.856841499664397"/>
        <n v="1.61753507428713"/>
        <n v="0.00590044630292308"/>
        <n v="0.7189116191409"/>
        <n v="1.12589224864593"/>
        <n v="0.585130228473305"/>
        <n v="11.5901144855008"/>
        <n v="0.449464213048786"/>
        <n v="0.308813538851734"/>
        <n v="10.0013690957745"/>
        <n v="3.90841949778434"/>
        <n v="8.22284122562674"/>
        <n v="19.9451247165533"/>
        <n v="3.00182005222759"/>
        <n v="2.88723790074118"/>
        <n v="1.484388564015"/>
        <n v="2.63809586054056"/>
        <n v="0.196369495308342"/>
        <n v="1.49211508553655"/>
        <n v="0.0597319989075564"/>
        <n v="0.159425664935891"/>
        <n v="0.103436289601748"/>
        <n v="0.368541530412034"/>
        <n v="4.95562508889205"/>
        <n v="2.49639143370548"/>
        <n v="0.234709901258725"/>
        <n v="0.993911145091609"/>
        <n v="0.652771593944791"/>
        <n v="2.7455914018414"/>
        <n v="9.58436196292633"/>
        <n v="3.48904545893254"/>
        <n v="0.804389561754877"/>
        <n v="5.16671164121108"/>
        <n v="0.918116981905677"/>
        <n v="0.540123456790123"/>
        <n v="33.1493693294977"/>
        <n v="0.388685901474109"/>
        <n v="0.141507464970989"/>
        <n v="0.133685107711927"/>
        <n v="4.27391467638508"/>
        <n v="1.88295541401274"/>
        <n v="1.17153453871117"/>
        <n v="0.112074279550008"/>
        <n v="1.42024094326726"/>
        <n v="3.63836874324811"/>
        <n v="1.20082666185116"/>
        <n v="12.4702687517558"/>
        <n v="4.79294735989071"/>
        <n v="0.611243908780582"/>
        <n v="7.304619723491"/>
        <n v="2.71421500247491"/>
        <n v="0.834332896315099"/>
        <n v="0.466473827956017"/>
        <n v="0.385216420687089"/>
        <n v="1.86687300279358"/>
        <n v="1.26646772564503"/>
        <n v="1.2173291511686"/>
        <n v="3.18607242339833"/>
        <n v="0.07380028588932"/>
        <n v="1.3344012760311"/>
        <n v="2.18169732059976"/>
        <n v="7.53972790671087"/>
        <n v="0.720932778629297"/>
        <n v="12.1085378499827"/>
        <n v="0.331337533795152"/>
        <n v="3.59224191416471"/>
        <n v="2.81606777853482"/>
        <n v="1.10839016597765"/>
        <n v="0.0713773258262239"/>
        <n v="1.31432827906624"/>
        <n v="10.1804645105275"/>
        <n v="0.441681151218724"/>
        <n v="1.5338015200033"/>
        <n v="0.0104685260497648"/>
        <n v="1.98857752699761"/>
        <n v="0.506878306878307"/>
        <n v="0.478630800445055"/>
        <n v="1.39612479849056"/>
        <n v="0.156441682490362"/>
        <n v="1.15356400118838"/>
        <n v="3.32510141132832"/>
        <n v="0.701182084921251"/>
        <n v="0.0994316387748658"/>
        <n v="0.059330593480078"/>
        <n v="0.810413235514299"/>
        <n v="0.0678454853114925"/>
        <n v="3.95676068859614"/>
        <n v="0.222787271435516"/>
        <n v="29.5653333333333"/>
        <n v="0.332484094564397"/>
        <n v="1.45473360422284"/>
        <n v="0.672680553277568"/>
        <n v="0.0051178035788032"/>
        <n v="3.68125106819347"/>
        <n v="2.88838696963725"/>
        <n v="2.07936437283005"/>
        <n v="1.99188199662628"/>
        <n v="3.02069358309075"/>
        <n v="7.38219198589464"/>
        <n v="1.42111556202962"/>
        <n v="3.04371781837263"/>
        <n v="0.247878267740134"/>
        <n v="0.164375970491292"/>
        <n v="0.247916317055434"/>
        <n v="0.232592547117687"/>
        <n v="1.00870495344926"/>
        <n v="2.10756211739287"/>
        <n v="2.02442391298122"/>
        <n v="1.12377989917409"/>
        <n v="6.55809817405739"/>
        <n v="0.990810961708463"/>
        <n v="1.35511825445887"/>
        <n v="1.3307689665831"/>
        <n v="0.479918622189484"/>
        <n v="0.0199105125748292"/>
        <n v="44.9342583415923"/>
        <n v="0.23880482371918"/>
        <n v="20.3692905733722"/>
        <n v="1.73672334783317"/>
        <n v="4.44499292033099"/>
        <n v="8.56590900663725"/>
        <n v="1.42229259955773"/>
        <n v="0.199909246145947"/>
        <n v="4.18157067079754"/>
        <n v="5.428799361787"/>
        <n v="0.152507601323131"/>
        <n v="5.43125403884898"/>
        <n v="0.684429912914123"/>
        <n v="0.51958772198331"/>
        <n v="0.53703436500493"/>
        <n v="5.82148431956861"/>
        <n v="3.66401540098283"/>
        <n v="0.14638138566656"/>
        <n v="1.31428046834174"/>
        <n v="2.48824335121561"/>
        <n v="2.3720060691449"/>
        <n v="0.343160641073425"/>
        <n v="0.479277716850723"/>
        <n v="11.6415556287961"/>
        <n v="4.65447259090408"/>
        <n v="1.39725800210072"/>
        <n v="0.0349024202998101"/>
        <n v="13.9176456040559"/>
        <n v="0.186017914183639"/>
        <n v="1.87521553873997"/>
        <n v="0.054586311102634"/>
        <n v="3.54066489853821"/>
        <n v="0.182233981938948"/>
        <n v="1.6290527150218"/>
        <n v="0.982465188241362"/>
        <n v="0.140975579793442"/>
        <n v="0.430320192321874"/>
        <n v="6.17880253816674"/>
        <n v="1.00292467948718"/>
        <n v="4.57535336613967"/>
        <n v="3.81552208120824"/>
        <n v="1.16933457105984"/>
        <n v="1.09453148867455"/>
        <n v="1.77278031130237"/>
        <n v="2.8915170308406"/>
        <n v="0.433800280811567"/>
        <n v="3.69570601367378"/>
        <n v="2.81054732700764"/>
        <n v="1.9227186322354"/>
        <n v="2.55261723958031"/>
        <n v="0.525505219806532"/>
        <n v="20.682382133995"/>
        <n v="2.1104083064908"/>
        <n v="0.151965993623804"/>
        <n v="1.29012048192771"/>
        <n v="0.239237916631148"/>
        <n v="1.31144201921224"/>
        <n v="4.37253072648359"/>
        <n v="3.26598195805834"/>
        <n v="1.46328162869607"/>
        <n v="4.94121523296999"/>
        <n v="0.546186144156753"/>
        <n v="1.22549789160475"/>
        <n v="1.16533274375415"/>
        <n v="0.651331118398343"/>
        <n v="2.25710872162485"/>
        <n v="0.786202644378982"/>
        <n v="5.61031379226466"/>
        <n v="2.72021279848351"/>
        <n v="37.8752228163993"/>
        <n v="0.507776016451737"/>
        <n v="2.0822900393848"/>
        <n v="0.551512169562356"/>
        <n v="1.71367188881423"/>
        <n v="2.31990438672083"/>
        <n v="0.747017501362563"/>
        <n v="6.1019078112271"/>
        <n v="0.85825072670968"/>
        <n v="2.32953563714903"/>
        <n v="4.58742354656857"/>
        <n v="1.72827877327211"/>
        <n v="2.33004048406519"/>
        <n v="0.574636211832061"/>
        <n v="0.279104674873499"/>
        <n v="0.809760514122388"/>
        <n v="2.05131472749671"/>
        <n v="1.18166827213506"/>
        <n v="9.2738924838228"/>
        <n v="0.343999002690658"/>
        <n v="0.0832436073420525"/>
        <n v="1.12633417840176"/>
        <n v="1.2152671033651"/>
        <n v="0.24759189824692"/>
        <n v="0.0396768135742392"/>
        <n v="1.07042555127869"/>
        <n v="0.451858059627814"/>
        <n v="0.303945871853947"/>
        <n v="1.08396581741218"/>
        <n v="2.56738243669668"/>
        <n v="1.59858135967537"/>
        <n v="1.29560354801388"/>
        <n v="2.7234391628237"/>
        <n v="25.5830034309844"/>
        <n v="0.0690897829330781"/>
        <n v="0.885298926251602"/>
        <n v="1.82566438876234"/>
        <n v="4.73223010244287"/>
        <n v="2.49789347183468"/>
        <n v="1.14531496332854"/>
        <n v="4.35953342990013"/>
        <n v="5.91832493924559"/>
        <n v="0.302293692346048"/>
        <n v="0.796563953030184"/>
        <n v="1.77685642411255"/>
        <n v="5.69091206811855"/>
        <n v="0.975094534101192"/>
        <n v="0.699711862164268"/>
        <n v="0.216157850761617"/>
        <n v="0.951085402969515"/>
        <n v="0.0416331010005487"/>
        <n v="2.42054255304032"/>
        <n v="1.61822479419676"/>
        <n v="2.41849684968497"/>
        <n v="0.505491726280801"/>
        <n v="0.412402958335247"/>
        <n v="5.14798672308296"/>
        <n v="5.8472740109878"/>
        <n v="0.532772251976537"/>
        <n v="1.35309238270351"/>
        <n v="1.95271466088148"/>
        <n v="5.69660215820922"/>
        <n v="2.03493430463186"/>
        <n v="0.397036107808536"/>
        <n v="0.483523379231211"/>
        <n v="1.39263597815808"/>
        <n v="1.81192634956061"/>
        <n v="2.97863877840514"/>
        <n v="0.29912858826119"/>
        <n v="0.623282469101706"/>
        <n v="1.48308436348844"/>
        <n v="0.812326276725213"/>
        <n v="0.481152832339721"/>
        <n v="1.11039982521302"/>
        <n v="0.124231328176066"/>
        <n v="0.45765725716826"/>
        <n v="0.289497760870612"/>
        <n v="1.25139883397895"/>
        <n v="9.17084818246615"/>
        <n v="0.714559334254311"/>
        <n v="8.90272108843537"/>
        <n v="0.867513611615245"/>
        <n v="0.828521280069664"/>
        <n v="0.0116727267052637"/>
        <n v="1.05797385665114"/>
        <n v="4.41947059296806"/>
        <n v="6.90029917205872"/>
        <n v="1.86757038581856"/>
        <n v="33.1566672028309"/>
        <n v="3.4590744648779"/>
        <n v="3.68176926787636"/>
        <n v="0.780702207973525"/>
        <n v="0.997085920864702"/>
        <n v="1.1149544153416"/>
        <n v="0.752442873850875"/>
        <n v="1.49443407690305"/>
        <n v="6.19947181376545"/>
        <n v="3.49151516618655"/>
        <n v="1.36179018534228"/>
        <n v="2.95157456922163"/>
        <n v="1.32928995074222"/>
        <n v="1.92177666945055"/>
        <n v="2.08180053947834"/>
        <n v="0.828490397542713"/>
        <n v="0.354207244946059"/>
        <n v="1.93326220521688"/>
        <n v="2.12139381727036"/>
        <n v="2.47677675179547"/>
        <n v="4.83276203131842"/>
        <n v="0.112786392225977"/>
        <n v="0.619480823199252"/>
        <n v="0.909852920401212"/>
        <n v="0.272909590229096"/>
        <n v="0.594651774951413"/>
        <n v="1.17122770516284"/>
        <n v="1.13844901496873"/>
        <n v="11.4268084547722"/>
        <n v="0.181550333216415"/>
        <n v="0.759718146578271"/>
        <n v="0.0225872101355806"/>
        <n v="1.07965994722795"/>
        <n v="0.609500647236496"/>
        <n v="1.45506115936891"/>
        <n v="1.51961468049865"/>
        <n v="4.70489956823728"/>
        <n v="0.586539041120662"/>
        <n v="0.400545624821858"/>
        <n v="9.13784160091731"/>
        <n v="1.70635058973912"/>
        <n v="0.248786767574315"/>
        <n v="0.828830667498586"/>
        <n v="1.78110156869429"/>
        <n v="1.75401483392454"/>
        <n v="5.69045120671564"/>
        <n v="0.430025147669454"/>
        <n v="0.664520093400516"/>
        <n v="2.30173392506967"/>
        <n v="3.242919026991"/>
        <n v="3.11724194812157"/>
        <n v="1.77897702226141"/>
        <n v="0.513096332795484"/>
        <n v="1.01600751743352"/>
        <n v="2.9286479271113"/>
        <n v="1.85872023193208"/>
        <n v="0.0232332450705674"/>
        <n v="1.40641490438727"/>
        <n v="0.491825569745066"/>
        <n v="10.3334122661615"/>
        <n v="0.566140920979631"/>
        <n v="0.793575866687158"/>
        <n v="10.7381656804734"/>
        <n v="5.93577871316897"/>
        <n v="2.05558626928683"/>
        <n v="3.28139560082349"/>
        <n v="9.16438753322059"/>
        <n v="1.13190961852708"/>
        <n v="2.02994397974062"/>
        <n v="2.7255369928401"/>
        <n v="0.141211196270146"/>
        <n v="1.29714025655137"/>
        <n v="1.22830023729237"/>
        <n v="0.545257364604159"/>
        <n v="0.58636694519278"/>
        <n v="23.5609756097561"/>
        <n v="0.245083160405117"/>
        <n v="0.174959722172497"/>
        <n v="6.84146290139304"/>
        <n v="1.47925404821612"/>
        <n v="0.0451830967154703"/>
        <n v="10.8132503334815"/>
        <n v="0.226360035181258"/>
        <n v="0.859875719816508"/>
        <n v="1.16867221879155"/>
        <n v="0.0503009286938499"/>
        <n v="0.241938006606004"/>
        <n v="0.9517089929845"/>
        <n v="1.92728417192353"/>
        <n v="1.59732147829154"/>
        <n v="2.89142819894401"/>
        <n v="4.39519827353655"/>
        <n v="0.274072078978173"/>
        <n v="0.813649825002244"/>
        <n v="0.10370255744886"/>
        <n v="0.379726559674269"/>
        <n v="1.21751913727384"/>
        <n v="0.546256867670567"/>
        <n v="0.155425712062732"/>
        <n v="1.21835891559362"/>
        <n v="7.86634712876763"/>
        <n v="2.53833422317138"/>
        <n v="1.2625614245961"/>
        <n v="14.7708762128786"/>
        <n v="3.4490688663917"/>
        <n v="1.46030269721823"/>
        <n v="2.31050666506725"/>
        <n v="0.076789143515555"/>
        <n v="6.63330606745898"/>
        <n v="1.71070872666599"/>
        <n v="4.27324950244256"/>
        <n v="0.0643463133041877"/>
        <n v="0.389109582404806"/>
        <n v="1.16992734969395"/>
        <n v="0.244171234739298"/>
        <n v="1.45689847526962"/>
        <n v="1.27635406566006"/>
        <n v="9.74365712498045"/>
        <n v="0.145175634978563"/>
        <n v="1.52726520842862"/>
        <n v="1.35997253261752"/>
        <n v="0.301956240201759"/>
        <n v="0.935648788148972"/>
        <n v="0.428868967552134"/>
        <n v="0.0687333341450645"/>
        <n v="0.681714265820288"/>
        <n v="1.76204106762873"/>
        <n v="2.70383901533652"/>
        <n v="1.87850789756172"/>
        <n v="0.138904194785569"/>
        <n v="11.4156742220515"/>
        <n v="1.37879041460631"/>
        <n v="5.41105937136205"/>
        <n v="40.8835843373494"/>
        <n v="0.799947561615102"/>
        <n v="2.35942103240681"/>
        <n v="0.920127429846817"/>
        <n v="5.3735973873723"/>
        <n v="0.0808723446556655"/>
        <n v="1.98393114770409"/>
        <n v="1.98269438280025"/>
        <n v="0.91531517747858"/>
        <n v="1.18380868355418"/>
        <n v="8.03891526751187"/>
        <n v="0.0767858352717993"/>
        <n v="0.880906641535878"/>
        <n v="19.7934076910271"/>
        <n v="0.331883369740716"/>
        <n v="0.414927630286323"/>
        <n v="0.101179422835634"/>
        <n v="0.98149884367773"/>
        <n v="6.23134085131347"/>
        <n v="1.03003511412089"/>
        <n v="0.242508603023624"/>
        <n v="1.03251501460635"/>
        <n v="0.260823551501841"/>
        <n v="0.962024756363315"/>
        <n v="0.163539014175089"/>
        <n v="0.104810093310553"/>
        <n v="1.1199980828106"/>
        <n v="0.472515809877994"/>
        <n v="0.348221437516218"/>
        <n v="2.72486273523618"/>
        <n v="0.100077172002776"/>
        <n v="2.07534007673526"/>
        <n v="1.14680277090697"/>
        <n v="5.98815557808248"/>
        <n v="7.43797448540346"/>
        <n v="0.985665355828999"/>
        <n v="0.320165168567616"/>
        <n v="0.10057247721062"/>
        <n v="0.224267727044601"/>
        <n v="0.0643939155553598"/>
        <n v="0.303152991759226"/>
        <n v="0.583124096477212"/>
        <n v="17.8079922655495"/>
        <n v="0.747866498845074"/>
        <n v="0.463979059885224"/>
        <n v="1.99741411156262"/>
        <n v="2.65369514735103"/>
        <n v="0.0403841484798619"/>
        <n v="0.167507977499161"/>
        <n v="0.109660433037557"/>
        <n v="0.237779989782644"/>
        <n v="0.810571078239545"/>
        <n v="0.412091393641209"/>
        <n v="0.52724630661177"/>
        <n v="0.492299390696315"/>
        <n v="2.22162116692442"/>
        <n v="0.0770341286620356"/>
        <n v="0.43749340329609"/>
        <n v="1.2702088413897"/>
        <n v="0.558597039333179"/>
        <n v="0.376771615253353"/>
        <n v="1.3523724283218"/>
        <n v="1.30291850583042"/>
        <n v="1.11442791723009"/>
        <n v="0.254772628868008"/>
        <n v="0.220128038680217"/>
        <n v="1.34950727358048"/>
        <n v="0.911355075337034"/>
        <n v="1.18637816829304"/>
        <n v="5.6"/>
        <n v="6.70043454644215"/>
        <n v="1.39969776429199"/>
        <n v="4.98012744356842"/>
        <n v="1.27679657189183"/>
        <n v="3.84253975962122"/>
        <n v="0.259221406671003"/>
        <n v="1.19188557996123"/>
        <n v="1.18970313283779"/>
        <n v="1.48320917723778"/>
        <n v="0.0421406076585484"/>
        <n v="0.0800031559430352"/>
        <n v="0.196849584955694"/>
        <n v="3.31211569209231"/>
        <n v="16.4353252647504"/>
        <n v="2.17013168684579"/>
        <n v="1.09401202257588"/>
        <n v="0.737441144848552"/>
        <n v="0.71902423315353"/>
        <n v="0.596926100843548"/>
        <n v="0.947448591012947"/>
        <n v="2.18085789320105"/>
        <n v="3.32754384962578"/>
        <n v="0.0599399565202388"/>
        <n v="0.0673539033156981"/>
        <n v="3.53169521370258"/>
        <n v="4.56003076035759"/>
        <n v="1.97587607015706"/>
        <n v="0.490259756890908"/>
        <n v="2.42947546055407"/>
        <n v="0.54639848494743"/>
        <n v="1.88965324904713"/>
        <n v="2.75750342796201"/>
        <n v="0.0452280427417253"/>
        <n v="7.21580582751949"/>
        <n v="0.897200334439687"/>
        <n v="0.412654353937582"/>
        <n v="0.850257600188776"/>
        <n v="0.821200921779208"/>
        <n v="2.78229173650943"/>
        <n v="0.288693643418901"/>
        <n v="4.06569386187747"/>
        <n v="23.0137341280124"/>
        <n v="1.20348992333553"/>
        <n v="0.240633168748185"/>
        <n v="0.180086128148245"/>
        <n v="7.22120904172045"/>
        <n v="0.55144374084984"/>
        <n v="1.96970889063729"/>
        <n v="1.25619314426013"/>
        <n v="1.37179410857412"/>
        <n v="0.789035559048551"/>
        <n v="1.35760295953616"/>
        <n v="0.429584081801852"/>
        <n v="0.667165066689321"/>
        <n v="4.45441359773371"/>
        <n v="1.01341604693748"/>
        <n v="3.22782999803095"/>
        <n v="2.13532146028098"/>
        <n v="12.4597197898424"/>
        <n v="3.42204152522302"/>
        <n v="1.14987499230937"/>
        <n v="0.399245477330167"/>
        <n v="0.51073703366697"/>
        <n v="0.209510667428498"/>
        <n v="0.096779628651982"/>
        <n v="0.311346458753444"/>
        <n v="0.519911347097447"/>
        <n v="0.157949729508037"/>
        <n v="2.18414153623962"/>
        <n v="3.81237616717568"/>
        <n v="3.41221913347975"/>
        <n v="5.27442566428063"/>
        <n v="0.940162472756093"/>
        <n v="0.284433444891301"/>
        <n v="13.0728516010257"/>
        <n v="12.913924291421"/>
        <n v="4.91657283242911"/>
        <n v="2.26126911193853"/>
        <n v="0.326759410801964"/>
        <n v="1.17216455209535"/>
        <n v="0.253993119547856"/>
        <n v="0.562293488824101"/>
        <n v="2.80474208232917"/>
        <n v="2.00935819831261"/>
        <n v="0.482249124854142"/>
        <n v="2.54291253448662"/>
        <n v="0.802529103687824"/>
        <n v="0.445706646807835"/>
        <n v="0.335884211161711"/>
        <n v="4.42300162219612"/>
        <n v="0.207848120188355"/>
        <n v="1.09702572150161"/>
        <n v="0.525234866143957"/>
        <n v="0.237372715624789"/>
        <n v="4.33452580857122"/>
        <n v="4.16324924896285"/>
        <n v="1.31886832588811"/>
        <n v="6.91112702143224"/>
        <n v="0.950649896436827"/>
        <n v="1.62534775888717"/>
        <n v="2.3694732044019"/>
        <n v="3.41465701263486"/>
        <n v="3.43092090720191"/>
        <n v="4.3965911254999"/>
        <n v="1.84621021037947"/>
        <n v="0.279513800962269"/>
        <n v="4.34319714399048"/>
        <n v="1.02562120242079"/>
        <n v="0.389944450545957"/>
        <n v="0.24908714164782"/>
        <n v="1.03241986991924"/>
        <n v="1.12428488516707"/>
        <n v="3.52771198484131"/>
        <n v="7.10207880856345"/>
        <n v="0.0311048576580515"/>
        <n v="1.60577836913134"/>
        <n v="0.0774382156294833"/>
        <n v="2.03612938277354"/>
        <n v="1.50160876324066"/>
        <n v="0.236594527921059"/>
        <n v="0.326738728017982"/>
        <n v="1.23287092512367"/>
        <n v="1.06986749945236"/>
        <n v="1.72239145444945"/>
        <n v="1.65466618484055"/>
        <n v="0.373079147908755"/>
        <n v="5.06341559335365"/>
        <n v="1.34847033919661"/>
        <n v="0.10868111436907"/>
        <n v="2.09911054637865"/>
        <n v="10.3865110246433"/>
        <n v="5.29667752442997"/>
        <n v="1.20214255436667"/>
        <n v="1.84265202389344"/>
        <n v="3.30342416045392"/>
        <n v="1.23242859331263"/>
        <n v="5.98412771018205"/>
        <n v="0.249089773335713"/>
        <n v="1.36838857619345"/>
        <n v="0.71799317047544"/>
        <n v="0.702750943951356"/>
        <n v="0.515825013089714"/>
        <n v="0.410881457252425"/>
        <n v="0.375287936956961"/>
        <n v="0.487047289016608"/>
        <n v="1.75830198876509"/>
        <n v="2.37635681600511"/>
        <n v="1.71851585984118"/>
        <n v="1.05602342231682"/>
        <n v="0.970828377083069"/>
        <n v="15.7730795274998"/>
        <n v="1.0565248217971"/>
        <n v="0.390751641036704"/>
        <n v="3.04089518928749"/>
        <n v="2.54845466319172"/>
        <n v="6.65696318801668"/>
        <n v="17.7289896128423"/>
        <n v="0.332739292900259"/>
        <n v="0.72437750629488"/>
        <n v="25.8655720882504"/>
        <n v="1.39247510400914"/>
        <n v="0.271955326559397"/>
        <n v="11.0700531954746"/>
        <n v="0.388696250522822"/>
        <n v="0.101066002287208"/>
        <n v="1.96462709749701"/>
        <n v="2.00353989380319"/>
        <n v="0.102369439799961"/>
        <n v="0.328638497652582"/>
        <n v="1.14399155831381"/>
        <n v="2.45584077721924"/>
        <n v="0.169694702519207"/>
        <n v="0.297681384574976"/>
        <n v="4.17098112546018"/>
        <n v="0.36032711384034"/>
        <n v="10.3203355600435"/>
        <n v="0.120507525515269"/>
        <n v="63.4886552296624"/>
        <n v="4.16288457769939"/>
        <n v="0.939208533431843"/>
        <n v="2.53368985012481"/>
        <n v="4.56262674310893"/>
        <n v="0.784516589368534"/>
        <n v="0.250228011505811"/>
        <n v="2.74865366759517"/>
        <n v="3.1313431870371"/>
        <n v="0.538873252433904"/>
        <n v="2.84875668870003"/>
        <n v="0.313146064198379"/>
        <n v="0.163277490956345"/>
        <n v="1.41919694863027"/>
        <n v="3.98147055352296"/>
        <n v="2.55134220444581"/>
      </sharedItems>
    </cacheField>
    <cacheField name="average" numFmtId="0">
      <sharedItems containsString="0" containsBlank="1" containsNumber="1" minValue="2.91692859416682" maxValue="2.91692859416682" count="2">
        <n v="2.91692859416682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</r>
  <r>
    <x v="2"/>
    <x v="2"/>
    <x v="1"/>
    <x v="1"/>
    <x v="2"/>
    <x v="2"/>
    <x v="2"/>
    <x v="2"/>
    <x v="1"/>
    <x v="1"/>
    <x v="1"/>
    <x v="2"/>
    <x v="1"/>
  </r>
  <r>
    <x v="3"/>
    <x v="3"/>
    <x v="2"/>
    <x v="2"/>
    <x v="3"/>
    <x v="3"/>
    <x v="3"/>
    <x v="3"/>
    <x v="1"/>
    <x v="1"/>
    <x v="1"/>
    <x v="3"/>
    <x v="1"/>
  </r>
  <r>
    <x v="4"/>
    <x v="2"/>
    <x v="3"/>
    <x v="0"/>
    <x v="4"/>
    <x v="4"/>
    <x v="4"/>
    <x v="4"/>
    <x v="1"/>
    <x v="1"/>
    <x v="1"/>
    <x v="4"/>
    <x v="1"/>
  </r>
  <r>
    <x v="5"/>
    <x v="1"/>
    <x v="3"/>
    <x v="3"/>
    <x v="3"/>
    <x v="5"/>
    <x v="5"/>
    <x v="5"/>
    <x v="1"/>
    <x v="1"/>
    <x v="1"/>
    <x v="5"/>
    <x v="1"/>
  </r>
  <r>
    <x v="6"/>
    <x v="4"/>
    <x v="1"/>
    <x v="2"/>
    <x v="5"/>
    <x v="6"/>
    <x v="6"/>
    <x v="6"/>
    <x v="1"/>
    <x v="1"/>
    <x v="1"/>
    <x v="6"/>
    <x v="1"/>
  </r>
  <r>
    <x v="7"/>
    <x v="5"/>
    <x v="1"/>
    <x v="4"/>
    <x v="6"/>
    <x v="7"/>
    <x v="7"/>
    <x v="7"/>
    <x v="1"/>
    <x v="1"/>
    <x v="1"/>
    <x v="7"/>
    <x v="1"/>
  </r>
  <r>
    <x v="8"/>
    <x v="5"/>
    <x v="2"/>
    <x v="1"/>
    <x v="4"/>
    <x v="8"/>
    <x v="8"/>
    <x v="8"/>
    <x v="1"/>
    <x v="1"/>
    <x v="1"/>
    <x v="8"/>
    <x v="1"/>
  </r>
  <r>
    <x v="9"/>
    <x v="3"/>
    <x v="2"/>
    <x v="2"/>
    <x v="6"/>
    <x v="9"/>
    <x v="9"/>
    <x v="9"/>
    <x v="1"/>
    <x v="1"/>
    <x v="1"/>
    <x v="9"/>
    <x v="1"/>
  </r>
  <r>
    <x v="10"/>
    <x v="6"/>
    <x v="0"/>
    <x v="5"/>
    <x v="5"/>
    <x v="10"/>
    <x v="10"/>
    <x v="10"/>
    <x v="1"/>
    <x v="1"/>
    <x v="1"/>
    <x v="10"/>
    <x v="1"/>
  </r>
  <r>
    <x v="11"/>
    <x v="4"/>
    <x v="0"/>
    <x v="6"/>
    <x v="7"/>
    <x v="11"/>
    <x v="11"/>
    <x v="11"/>
    <x v="1"/>
    <x v="1"/>
    <x v="1"/>
    <x v="11"/>
    <x v="1"/>
  </r>
  <r>
    <x v="12"/>
    <x v="6"/>
    <x v="3"/>
    <x v="3"/>
    <x v="1"/>
    <x v="12"/>
    <x v="12"/>
    <x v="12"/>
    <x v="1"/>
    <x v="1"/>
    <x v="1"/>
    <x v="12"/>
    <x v="1"/>
  </r>
  <r>
    <x v="13"/>
    <x v="5"/>
    <x v="0"/>
    <x v="4"/>
    <x v="4"/>
    <x v="13"/>
    <x v="13"/>
    <x v="13"/>
    <x v="1"/>
    <x v="1"/>
    <x v="1"/>
    <x v="13"/>
    <x v="1"/>
  </r>
  <r>
    <x v="14"/>
    <x v="2"/>
    <x v="2"/>
    <x v="0"/>
    <x v="5"/>
    <x v="14"/>
    <x v="14"/>
    <x v="14"/>
    <x v="1"/>
    <x v="1"/>
    <x v="1"/>
    <x v="14"/>
    <x v="1"/>
  </r>
  <r>
    <x v="15"/>
    <x v="3"/>
    <x v="0"/>
    <x v="2"/>
    <x v="8"/>
    <x v="15"/>
    <x v="15"/>
    <x v="15"/>
    <x v="1"/>
    <x v="1"/>
    <x v="1"/>
    <x v="15"/>
    <x v="1"/>
  </r>
  <r>
    <x v="16"/>
    <x v="3"/>
    <x v="3"/>
    <x v="6"/>
    <x v="0"/>
    <x v="16"/>
    <x v="16"/>
    <x v="16"/>
    <x v="1"/>
    <x v="1"/>
    <x v="1"/>
    <x v="16"/>
    <x v="1"/>
  </r>
  <r>
    <x v="17"/>
    <x v="5"/>
    <x v="1"/>
    <x v="2"/>
    <x v="2"/>
    <x v="17"/>
    <x v="17"/>
    <x v="17"/>
    <x v="1"/>
    <x v="1"/>
    <x v="1"/>
    <x v="17"/>
    <x v="1"/>
  </r>
  <r>
    <x v="18"/>
    <x v="3"/>
    <x v="0"/>
    <x v="4"/>
    <x v="7"/>
    <x v="18"/>
    <x v="18"/>
    <x v="18"/>
    <x v="1"/>
    <x v="1"/>
    <x v="1"/>
    <x v="18"/>
    <x v="1"/>
  </r>
  <r>
    <x v="16"/>
    <x v="2"/>
    <x v="1"/>
    <x v="4"/>
    <x v="2"/>
    <x v="19"/>
    <x v="19"/>
    <x v="19"/>
    <x v="1"/>
    <x v="1"/>
    <x v="1"/>
    <x v="19"/>
    <x v="1"/>
  </r>
  <r>
    <x v="17"/>
    <x v="3"/>
    <x v="0"/>
    <x v="3"/>
    <x v="5"/>
    <x v="20"/>
    <x v="20"/>
    <x v="20"/>
    <x v="1"/>
    <x v="1"/>
    <x v="1"/>
    <x v="20"/>
    <x v="1"/>
  </r>
  <r>
    <x v="19"/>
    <x v="5"/>
    <x v="0"/>
    <x v="3"/>
    <x v="6"/>
    <x v="21"/>
    <x v="21"/>
    <x v="21"/>
    <x v="1"/>
    <x v="1"/>
    <x v="1"/>
    <x v="21"/>
    <x v="1"/>
  </r>
  <r>
    <x v="20"/>
    <x v="5"/>
    <x v="3"/>
    <x v="1"/>
    <x v="1"/>
    <x v="22"/>
    <x v="22"/>
    <x v="22"/>
    <x v="1"/>
    <x v="1"/>
    <x v="1"/>
    <x v="22"/>
    <x v="1"/>
  </r>
  <r>
    <x v="21"/>
    <x v="1"/>
    <x v="3"/>
    <x v="0"/>
    <x v="7"/>
    <x v="23"/>
    <x v="23"/>
    <x v="23"/>
    <x v="1"/>
    <x v="1"/>
    <x v="1"/>
    <x v="23"/>
    <x v="1"/>
  </r>
  <r>
    <x v="22"/>
    <x v="2"/>
    <x v="1"/>
    <x v="5"/>
    <x v="5"/>
    <x v="24"/>
    <x v="24"/>
    <x v="24"/>
    <x v="1"/>
    <x v="1"/>
    <x v="1"/>
    <x v="24"/>
    <x v="1"/>
  </r>
  <r>
    <x v="7"/>
    <x v="0"/>
    <x v="3"/>
    <x v="0"/>
    <x v="2"/>
    <x v="25"/>
    <x v="25"/>
    <x v="25"/>
    <x v="1"/>
    <x v="1"/>
    <x v="1"/>
    <x v="25"/>
    <x v="1"/>
  </r>
  <r>
    <x v="23"/>
    <x v="4"/>
    <x v="2"/>
    <x v="7"/>
    <x v="9"/>
    <x v="26"/>
    <x v="26"/>
    <x v="26"/>
    <x v="1"/>
    <x v="1"/>
    <x v="1"/>
    <x v="26"/>
    <x v="1"/>
  </r>
  <r>
    <x v="14"/>
    <x v="4"/>
    <x v="2"/>
    <x v="4"/>
    <x v="0"/>
    <x v="27"/>
    <x v="27"/>
    <x v="27"/>
    <x v="1"/>
    <x v="1"/>
    <x v="1"/>
    <x v="27"/>
    <x v="1"/>
  </r>
  <r>
    <x v="23"/>
    <x v="3"/>
    <x v="2"/>
    <x v="7"/>
    <x v="6"/>
    <x v="28"/>
    <x v="28"/>
    <x v="28"/>
    <x v="1"/>
    <x v="1"/>
    <x v="1"/>
    <x v="28"/>
    <x v="1"/>
  </r>
  <r>
    <x v="24"/>
    <x v="3"/>
    <x v="0"/>
    <x v="7"/>
    <x v="4"/>
    <x v="29"/>
    <x v="29"/>
    <x v="29"/>
    <x v="1"/>
    <x v="1"/>
    <x v="1"/>
    <x v="29"/>
    <x v="1"/>
  </r>
  <r>
    <x v="25"/>
    <x v="2"/>
    <x v="1"/>
    <x v="0"/>
    <x v="0"/>
    <x v="30"/>
    <x v="30"/>
    <x v="30"/>
    <x v="1"/>
    <x v="1"/>
    <x v="1"/>
    <x v="30"/>
    <x v="1"/>
  </r>
  <r>
    <x v="26"/>
    <x v="5"/>
    <x v="2"/>
    <x v="1"/>
    <x v="1"/>
    <x v="31"/>
    <x v="31"/>
    <x v="31"/>
    <x v="1"/>
    <x v="1"/>
    <x v="1"/>
    <x v="31"/>
    <x v="1"/>
  </r>
  <r>
    <x v="27"/>
    <x v="5"/>
    <x v="3"/>
    <x v="4"/>
    <x v="9"/>
    <x v="32"/>
    <x v="32"/>
    <x v="32"/>
    <x v="1"/>
    <x v="1"/>
    <x v="1"/>
    <x v="32"/>
    <x v="1"/>
  </r>
  <r>
    <x v="28"/>
    <x v="2"/>
    <x v="1"/>
    <x v="1"/>
    <x v="5"/>
    <x v="33"/>
    <x v="33"/>
    <x v="33"/>
    <x v="1"/>
    <x v="1"/>
    <x v="1"/>
    <x v="33"/>
    <x v="1"/>
  </r>
  <r>
    <x v="29"/>
    <x v="5"/>
    <x v="0"/>
    <x v="1"/>
    <x v="4"/>
    <x v="34"/>
    <x v="34"/>
    <x v="34"/>
    <x v="1"/>
    <x v="1"/>
    <x v="1"/>
    <x v="34"/>
    <x v="1"/>
  </r>
  <r>
    <x v="30"/>
    <x v="1"/>
    <x v="1"/>
    <x v="7"/>
    <x v="6"/>
    <x v="35"/>
    <x v="35"/>
    <x v="35"/>
    <x v="1"/>
    <x v="1"/>
    <x v="1"/>
    <x v="35"/>
    <x v="1"/>
  </r>
  <r>
    <x v="31"/>
    <x v="0"/>
    <x v="1"/>
    <x v="3"/>
    <x v="5"/>
    <x v="36"/>
    <x v="36"/>
    <x v="36"/>
    <x v="1"/>
    <x v="1"/>
    <x v="1"/>
    <x v="36"/>
    <x v="1"/>
  </r>
  <r>
    <x v="32"/>
    <x v="0"/>
    <x v="2"/>
    <x v="4"/>
    <x v="0"/>
    <x v="37"/>
    <x v="37"/>
    <x v="37"/>
    <x v="1"/>
    <x v="1"/>
    <x v="1"/>
    <x v="37"/>
    <x v="1"/>
  </r>
  <r>
    <x v="33"/>
    <x v="3"/>
    <x v="0"/>
    <x v="5"/>
    <x v="3"/>
    <x v="38"/>
    <x v="38"/>
    <x v="38"/>
    <x v="1"/>
    <x v="1"/>
    <x v="1"/>
    <x v="38"/>
    <x v="1"/>
  </r>
  <r>
    <x v="34"/>
    <x v="4"/>
    <x v="0"/>
    <x v="7"/>
    <x v="6"/>
    <x v="39"/>
    <x v="39"/>
    <x v="39"/>
    <x v="1"/>
    <x v="1"/>
    <x v="1"/>
    <x v="39"/>
    <x v="1"/>
  </r>
  <r>
    <x v="35"/>
    <x v="6"/>
    <x v="1"/>
    <x v="3"/>
    <x v="0"/>
    <x v="40"/>
    <x v="40"/>
    <x v="40"/>
    <x v="1"/>
    <x v="1"/>
    <x v="1"/>
    <x v="40"/>
    <x v="1"/>
  </r>
  <r>
    <x v="36"/>
    <x v="3"/>
    <x v="2"/>
    <x v="1"/>
    <x v="8"/>
    <x v="41"/>
    <x v="41"/>
    <x v="41"/>
    <x v="1"/>
    <x v="1"/>
    <x v="1"/>
    <x v="41"/>
    <x v="1"/>
  </r>
  <r>
    <x v="37"/>
    <x v="0"/>
    <x v="0"/>
    <x v="6"/>
    <x v="4"/>
    <x v="42"/>
    <x v="42"/>
    <x v="42"/>
    <x v="1"/>
    <x v="1"/>
    <x v="1"/>
    <x v="42"/>
    <x v="1"/>
  </r>
  <r>
    <x v="38"/>
    <x v="0"/>
    <x v="3"/>
    <x v="5"/>
    <x v="4"/>
    <x v="43"/>
    <x v="43"/>
    <x v="43"/>
    <x v="1"/>
    <x v="1"/>
    <x v="1"/>
    <x v="43"/>
    <x v="1"/>
  </r>
  <r>
    <x v="39"/>
    <x v="3"/>
    <x v="2"/>
    <x v="6"/>
    <x v="7"/>
    <x v="44"/>
    <x v="44"/>
    <x v="44"/>
    <x v="1"/>
    <x v="1"/>
    <x v="1"/>
    <x v="44"/>
    <x v="1"/>
  </r>
  <r>
    <x v="40"/>
    <x v="2"/>
    <x v="2"/>
    <x v="4"/>
    <x v="5"/>
    <x v="45"/>
    <x v="45"/>
    <x v="45"/>
    <x v="1"/>
    <x v="1"/>
    <x v="1"/>
    <x v="45"/>
    <x v="1"/>
  </r>
  <r>
    <x v="41"/>
    <x v="4"/>
    <x v="3"/>
    <x v="3"/>
    <x v="1"/>
    <x v="46"/>
    <x v="46"/>
    <x v="46"/>
    <x v="1"/>
    <x v="1"/>
    <x v="1"/>
    <x v="46"/>
    <x v="1"/>
  </r>
  <r>
    <x v="42"/>
    <x v="2"/>
    <x v="1"/>
    <x v="3"/>
    <x v="3"/>
    <x v="47"/>
    <x v="47"/>
    <x v="47"/>
    <x v="1"/>
    <x v="1"/>
    <x v="1"/>
    <x v="47"/>
    <x v="1"/>
  </r>
  <r>
    <x v="43"/>
    <x v="2"/>
    <x v="0"/>
    <x v="1"/>
    <x v="7"/>
    <x v="48"/>
    <x v="48"/>
    <x v="48"/>
    <x v="1"/>
    <x v="1"/>
    <x v="1"/>
    <x v="48"/>
    <x v="1"/>
  </r>
  <r>
    <x v="44"/>
    <x v="1"/>
    <x v="1"/>
    <x v="2"/>
    <x v="6"/>
    <x v="49"/>
    <x v="49"/>
    <x v="49"/>
    <x v="1"/>
    <x v="1"/>
    <x v="1"/>
    <x v="49"/>
    <x v="1"/>
  </r>
  <r>
    <x v="45"/>
    <x v="1"/>
    <x v="3"/>
    <x v="4"/>
    <x v="4"/>
    <x v="50"/>
    <x v="50"/>
    <x v="50"/>
    <x v="1"/>
    <x v="1"/>
    <x v="1"/>
    <x v="50"/>
    <x v="1"/>
  </r>
  <r>
    <x v="46"/>
    <x v="2"/>
    <x v="3"/>
    <x v="3"/>
    <x v="5"/>
    <x v="51"/>
    <x v="51"/>
    <x v="51"/>
    <x v="1"/>
    <x v="1"/>
    <x v="1"/>
    <x v="51"/>
    <x v="1"/>
  </r>
  <r>
    <x v="47"/>
    <x v="2"/>
    <x v="2"/>
    <x v="2"/>
    <x v="5"/>
    <x v="52"/>
    <x v="52"/>
    <x v="52"/>
    <x v="1"/>
    <x v="1"/>
    <x v="1"/>
    <x v="52"/>
    <x v="1"/>
  </r>
  <r>
    <x v="48"/>
    <x v="2"/>
    <x v="3"/>
    <x v="7"/>
    <x v="0"/>
    <x v="53"/>
    <x v="53"/>
    <x v="53"/>
    <x v="1"/>
    <x v="1"/>
    <x v="1"/>
    <x v="53"/>
    <x v="1"/>
  </r>
  <r>
    <x v="45"/>
    <x v="4"/>
    <x v="1"/>
    <x v="0"/>
    <x v="9"/>
    <x v="54"/>
    <x v="54"/>
    <x v="54"/>
    <x v="1"/>
    <x v="1"/>
    <x v="1"/>
    <x v="54"/>
    <x v="1"/>
  </r>
  <r>
    <x v="29"/>
    <x v="5"/>
    <x v="3"/>
    <x v="1"/>
    <x v="5"/>
    <x v="55"/>
    <x v="55"/>
    <x v="55"/>
    <x v="1"/>
    <x v="1"/>
    <x v="1"/>
    <x v="55"/>
    <x v="1"/>
  </r>
  <r>
    <x v="49"/>
    <x v="3"/>
    <x v="0"/>
    <x v="4"/>
    <x v="5"/>
    <x v="56"/>
    <x v="56"/>
    <x v="56"/>
    <x v="1"/>
    <x v="1"/>
    <x v="1"/>
    <x v="56"/>
    <x v="1"/>
  </r>
  <r>
    <x v="44"/>
    <x v="4"/>
    <x v="1"/>
    <x v="3"/>
    <x v="5"/>
    <x v="57"/>
    <x v="57"/>
    <x v="57"/>
    <x v="1"/>
    <x v="1"/>
    <x v="1"/>
    <x v="57"/>
    <x v="1"/>
  </r>
  <r>
    <x v="50"/>
    <x v="5"/>
    <x v="2"/>
    <x v="4"/>
    <x v="1"/>
    <x v="58"/>
    <x v="58"/>
    <x v="58"/>
    <x v="1"/>
    <x v="1"/>
    <x v="1"/>
    <x v="58"/>
    <x v="1"/>
  </r>
  <r>
    <x v="21"/>
    <x v="0"/>
    <x v="3"/>
    <x v="3"/>
    <x v="7"/>
    <x v="59"/>
    <x v="59"/>
    <x v="59"/>
    <x v="1"/>
    <x v="1"/>
    <x v="1"/>
    <x v="59"/>
    <x v="1"/>
  </r>
  <r>
    <x v="51"/>
    <x v="0"/>
    <x v="3"/>
    <x v="6"/>
    <x v="2"/>
    <x v="60"/>
    <x v="60"/>
    <x v="60"/>
    <x v="1"/>
    <x v="1"/>
    <x v="1"/>
    <x v="60"/>
    <x v="1"/>
  </r>
  <r>
    <x v="52"/>
    <x v="4"/>
    <x v="2"/>
    <x v="0"/>
    <x v="3"/>
    <x v="61"/>
    <x v="61"/>
    <x v="61"/>
    <x v="1"/>
    <x v="1"/>
    <x v="1"/>
    <x v="61"/>
    <x v="1"/>
  </r>
  <r>
    <x v="30"/>
    <x v="1"/>
    <x v="0"/>
    <x v="4"/>
    <x v="2"/>
    <x v="62"/>
    <x v="62"/>
    <x v="62"/>
    <x v="1"/>
    <x v="1"/>
    <x v="1"/>
    <x v="62"/>
    <x v="1"/>
  </r>
  <r>
    <x v="15"/>
    <x v="1"/>
    <x v="2"/>
    <x v="5"/>
    <x v="4"/>
    <x v="63"/>
    <x v="63"/>
    <x v="63"/>
    <x v="1"/>
    <x v="1"/>
    <x v="1"/>
    <x v="63"/>
    <x v="1"/>
  </r>
  <r>
    <x v="53"/>
    <x v="3"/>
    <x v="0"/>
    <x v="6"/>
    <x v="9"/>
    <x v="64"/>
    <x v="64"/>
    <x v="64"/>
    <x v="1"/>
    <x v="1"/>
    <x v="1"/>
    <x v="64"/>
    <x v="1"/>
  </r>
  <r>
    <x v="54"/>
    <x v="3"/>
    <x v="0"/>
    <x v="5"/>
    <x v="2"/>
    <x v="65"/>
    <x v="65"/>
    <x v="65"/>
    <x v="1"/>
    <x v="1"/>
    <x v="1"/>
    <x v="65"/>
    <x v="1"/>
  </r>
  <r>
    <x v="50"/>
    <x v="1"/>
    <x v="0"/>
    <x v="2"/>
    <x v="2"/>
    <x v="66"/>
    <x v="66"/>
    <x v="66"/>
    <x v="1"/>
    <x v="1"/>
    <x v="1"/>
    <x v="66"/>
    <x v="1"/>
  </r>
  <r>
    <x v="55"/>
    <x v="2"/>
    <x v="2"/>
    <x v="0"/>
    <x v="7"/>
    <x v="67"/>
    <x v="67"/>
    <x v="67"/>
    <x v="1"/>
    <x v="1"/>
    <x v="1"/>
    <x v="67"/>
    <x v="1"/>
  </r>
  <r>
    <x v="56"/>
    <x v="4"/>
    <x v="0"/>
    <x v="3"/>
    <x v="9"/>
    <x v="68"/>
    <x v="68"/>
    <x v="68"/>
    <x v="1"/>
    <x v="1"/>
    <x v="1"/>
    <x v="68"/>
    <x v="1"/>
  </r>
  <r>
    <x v="57"/>
    <x v="0"/>
    <x v="2"/>
    <x v="2"/>
    <x v="0"/>
    <x v="69"/>
    <x v="69"/>
    <x v="69"/>
    <x v="1"/>
    <x v="1"/>
    <x v="1"/>
    <x v="69"/>
    <x v="1"/>
  </r>
  <r>
    <x v="4"/>
    <x v="5"/>
    <x v="0"/>
    <x v="0"/>
    <x v="8"/>
    <x v="70"/>
    <x v="70"/>
    <x v="70"/>
    <x v="1"/>
    <x v="1"/>
    <x v="1"/>
    <x v="70"/>
    <x v="1"/>
  </r>
  <r>
    <x v="58"/>
    <x v="6"/>
    <x v="2"/>
    <x v="5"/>
    <x v="0"/>
    <x v="71"/>
    <x v="71"/>
    <x v="71"/>
    <x v="1"/>
    <x v="1"/>
    <x v="1"/>
    <x v="71"/>
    <x v="1"/>
  </r>
  <r>
    <x v="59"/>
    <x v="2"/>
    <x v="2"/>
    <x v="5"/>
    <x v="2"/>
    <x v="72"/>
    <x v="72"/>
    <x v="72"/>
    <x v="1"/>
    <x v="1"/>
    <x v="1"/>
    <x v="72"/>
    <x v="1"/>
  </r>
  <r>
    <x v="22"/>
    <x v="6"/>
    <x v="0"/>
    <x v="0"/>
    <x v="9"/>
    <x v="73"/>
    <x v="73"/>
    <x v="73"/>
    <x v="1"/>
    <x v="1"/>
    <x v="1"/>
    <x v="73"/>
    <x v="1"/>
  </r>
  <r>
    <x v="60"/>
    <x v="4"/>
    <x v="3"/>
    <x v="0"/>
    <x v="2"/>
    <x v="74"/>
    <x v="74"/>
    <x v="74"/>
    <x v="1"/>
    <x v="1"/>
    <x v="1"/>
    <x v="74"/>
    <x v="1"/>
  </r>
  <r>
    <x v="61"/>
    <x v="4"/>
    <x v="0"/>
    <x v="7"/>
    <x v="2"/>
    <x v="75"/>
    <x v="75"/>
    <x v="75"/>
    <x v="1"/>
    <x v="1"/>
    <x v="1"/>
    <x v="75"/>
    <x v="1"/>
  </r>
  <r>
    <x v="62"/>
    <x v="3"/>
    <x v="1"/>
    <x v="5"/>
    <x v="6"/>
    <x v="76"/>
    <x v="76"/>
    <x v="76"/>
    <x v="1"/>
    <x v="1"/>
    <x v="1"/>
    <x v="76"/>
    <x v="1"/>
  </r>
  <r>
    <x v="37"/>
    <x v="3"/>
    <x v="3"/>
    <x v="6"/>
    <x v="5"/>
    <x v="77"/>
    <x v="77"/>
    <x v="77"/>
    <x v="1"/>
    <x v="1"/>
    <x v="1"/>
    <x v="77"/>
    <x v="1"/>
  </r>
  <r>
    <x v="63"/>
    <x v="0"/>
    <x v="2"/>
    <x v="4"/>
    <x v="4"/>
    <x v="78"/>
    <x v="78"/>
    <x v="78"/>
    <x v="1"/>
    <x v="1"/>
    <x v="1"/>
    <x v="78"/>
    <x v="1"/>
  </r>
  <r>
    <x v="64"/>
    <x v="0"/>
    <x v="1"/>
    <x v="7"/>
    <x v="0"/>
    <x v="79"/>
    <x v="79"/>
    <x v="79"/>
    <x v="1"/>
    <x v="1"/>
    <x v="1"/>
    <x v="79"/>
    <x v="1"/>
  </r>
  <r>
    <x v="1"/>
    <x v="4"/>
    <x v="2"/>
    <x v="2"/>
    <x v="8"/>
    <x v="80"/>
    <x v="80"/>
    <x v="80"/>
    <x v="1"/>
    <x v="1"/>
    <x v="1"/>
    <x v="80"/>
    <x v="1"/>
  </r>
  <r>
    <x v="9"/>
    <x v="2"/>
    <x v="3"/>
    <x v="4"/>
    <x v="1"/>
    <x v="81"/>
    <x v="81"/>
    <x v="81"/>
    <x v="1"/>
    <x v="1"/>
    <x v="1"/>
    <x v="81"/>
    <x v="1"/>
  </r>
  <r>
    <x v="39"/>
    <x v="0"/>
    <x v="0"/>
    <x v="1"/>
    <x v="6"/>
    <x v="82"/>
    <x v="82"/>
    <x v="82"/>
    <x v="1"/>
    <x v="1"/>
    <x v="1"/>
    <x v="82"/>
    <x v="1"/>
  </r>
  <r>
    <x v="65"/>
    <x v="5"/>
    <x v="2"/>
    <x v="2"/>
    <x v="3"/>
    <x v="83"/>
    <x v="83"/>
    <x v="83"/>
    <x v="1"/>
    <x v="1"/>
    <x v="1"/>
    <x v="83"/>
    <x v="1"/>
  </r>
  <r>
    <x v="26"/>
    <x v="2"/>
    <x v="1"/>
    <x v="6"/>
    <x v="7"/>
    <x v="84"/>
    <x v="84"/>
    <x v="84"/>
    <x v="1"/>
    <x v="1"/>
    <x v="1"/>
    <x v="84"/>
    <x v="1"/>
  </r>
  <r>
    <x v="25"/>
    <x v="6"/>
    <x v="0"/>
    <x v="0"/>
    <x v="7"/>
    <x v="85"/>
    <x v="85"/>
    <x v="85"/>
    <x v="1"/>
    <x v="1"/>
    <x v="1"/>
    <x v="85"/>
    <x v="1"/>
  </r>
  <r>
    <x v="66"/>
    <x v="6"/>
    <x v="3"/>
    <x v="6"/>
    <x v="1"/>
    <x v="86"/>
    <x v="86"/>
    <x v="86"/>
    <x v="1"/>
    <x v="1"/>
    <x v="1"/>
    <x v="86"/>
    <x v="1"/>
  </r>
  <r>
    <x v="67"/>
    <x v="2"/>
    <x v="2"/>
    <x v="1"/>
    <x v="4"/>
    <x v="87"/>
    <x v="87"/>
    <x v="87"/>
    <x v="1"/>
    <x v="1"/>
    <x v="1"/>
    <x v="87"/>
    <x v="1"/>
  </r>
  <r>
    <x v="68"/>
    <x v="4"/>
    <x v="0"/>
    <x v="0"/>
    <x v="1"/>
    <x v="88"/>
    <x v="88"/>
    <x v="88"/>
    <x v="1"/>
    <x v="1"/>
    <x v="1"/>
    <x v="88"/>
    <x v="1"/>
  </r>
  <r>
    <x v="69"/>
    <x v="1"/>
    <x v="2"/>
    <x v="0"/>
    <x v="8"/>
    <x v="89"/>
    <x v="89"/>
    <x v="89"/>
    <x v="1"/>
    <x v="1"/>
    <x v="1"/>
    <x v="89"/>
    <x v="1"/>
  </r>
  <r>
    <x v="15"/>
    <x v="1"/>
    <x v="1"/>
    <x v="2"/>
    <x v="5"/>
    <x v="90"/>
    <x v="90"/>
    <x v="90"/>
    <x v="1"/>
    <x v="1"/>
    <x v="1"/>
    <x v="90"/>
    <x v="1"/>
  </r>
  <r>
    <x v="39"/>
    <x v="3"/>
    <x v="1"/>
    <x v="4"/>
    <x v="4"/>
    <x v="91"/>
    <x v="91"/>
    <x v="91"/>
    <x v="1"/>
    <x v="1"/>
    <x v="1"/>
    <x v="91"/>
    <x v="1"/>
  </r>
  <r>
    <x v="70"/>
    <x v="1"/>
    <x v="2"/>
    <x v="6"/>
    <x v="0"/>
    <x v="92"/>
    <x v="92"/>
    <x v="92"/>
    <x v="1"/>
    <x v="1"/>
    <x v="1"/>
    <x v="92"/>
    <x v="1"/>
  </r>
  <r>
    <x v="71"/>
    <x v="4"/>
    <x v="2"/>
    <x v="2"/>
    <x v="8"/>
    <x v="93"/>
    <x v="93"/>
    <x v="93"/>
    <x v="1"/>
    <x v="1"/>
    <x v="1"/>
    <x v="93"/>
    <x v="1"/>
  </r>
  <r>
    <x v="72"/>
    <x v="2"/>
    <x v="0"/>
    <x v="7"/>
    <x v="1"/>
    <x v="94"/>
    <x v="94"/>
    <x v="94"/>
    <x v="1"/>
    <x v="1"/>
    <x v="1"/>
    <x v="94"/>
    <x v="1"/>
  </r>
  <r>
    <x v="27"/>
    <x v="3"/>
    <x v="0"/>
    <x v="2"/>
    <x v="8"/>
    <x v="95"/>
    <x v="95"/>
    <x v="95"/>
    <x v="1"/>
    <x v="1"/>
    <x v="1"/>
    <x v="95"/>
    <x v="1"/>
  </r>
  <r>
    <x v="73"/>
    <x v="3"/>
    <x v="0"/>
    <x v="4"/>
    <x v="2"/>
    <x v="96"/>
    <x v="96"/>
    <x v="96"/>
    <x v="1"/>
    <x v="1"/>
    <x v="1"/>
    <x v="96"/>
    <x v="1"/>
  </r>
  <r>
    <x v="74"/>
    <x v="2"/>
    <x v="3"/>
    <x v="5"/>
    <x v="5"/>
    <x v="97"/>
    <x v="97"/>
    <x v="97"/>
    <x v="1"/>
    <x v="1"/>
    <x v="1"/>
    <x v="97"/>
    <x v="1"/>
  </r>
  <r>
    <x v="75"/>
    <x v="5"/>
    <x v="2"/>
    <x v="2"/>
    <x v="2"/>
    <x v="98"/>
    <x v="98"/>
    <x v="98"/>
    <x v="1"/>
    <x v="1"/>
    <x v="1"/>
    <x v="98"/>
    <x v="1"/>
  </r>
  <r>
    <x v="29"/>
    <x v="2"/>
    <x v="2"/>
    <x v="1"/>
    <x v="4"/>
    <x v="99"/>
    <x v="99"/>
    <x v="99"/>
    <x v="1"/>
    <x v="1"/>
    <x v="1"/>
    <x v="99"/>
    <x v="1"/>
  </r>
  <r>
    <x v="76"/>
    <x v="4"/>
    <x v="3"/>
    <x v="3"/>
    <x v="6"/>
    <x v="100"/>
    <x v="100"/>
    <x v="100"/>
    <x v="1"/>
    <x v="1"/>
    <x v="1"/>
    <x v="100"/>
    <x v="1"/>
  </r>
  <r>
    <x v="63"/>
    <x v="4"/>
    <x v="2"/>
    <x v="0"/>
    <x v="9"/>
    <x v="101"/>
    <x v="101"/>
    <x v="101"/>
    <x v="1"/>
    <x v="1"/>
    <x v="1"/>
    <x v="101"/>
    <x v="1"/>
  </r>
  <r>
    <x v="74"/>
    <x v="6"/>
    <x v="3"/>
    <x v="6"/>
    <x v="1"/>
    <x v="102"/>
    <x v="102"/>
    <x v="102"/>
    <x v="1"/>
    <x v="1"/>
    <x v="1"/>
    <x v="102"/>
    <x v="1"/>
  </r>
  <r>
    <x v="77"/>
    <x v="3"/>
    <x v="1"/>
    <x v="1"/>
    <x v="0"/>
    <x v="103"/>
    <x v="103"/>
    <x v="103"/>
    <x v="1"/>
    <x v="1"/>
    <x v="1"/>
    <x v="103"/>
    <x v="1"/>
  </r>
  <r>
    <x v="33"/>
    <x v="0"/>
    <x v="1"/>
    <x v="7"/>
    <x v="7"/>
    <x v="104"/>
    <x v="104"/>
    <x v="104"/>
    <x v="1"/>
    <x v="1"/>
    <x v="1"/>
    <x v="104"/>
    <x v="1"/>
  </r>
  <r>
    <x v="78"/>
    <x v="4"/>
    <x v="3"/>
    <x v="1"/>
    <x v="8"/>
    <x v="105"/>
    <x v="105"/>
    <x v="105"/>
    <x v="1"/>
    <x v="1"/>
    <x v="1"/>
    <x v="105"/>
    <x v="1"/>
  </r>
  <r>
    <x v="79"/>
    <x v="3"/>
    <x v="2"/>
    <x v="5"/>
    <x v="8"/>
    <x v="106"/>
    <x v="106"/>
    <x v="106"/>
    <x v="1"/>
    <x v="1"/>
    <x v="1"/>
    <x v="106"/>
    <x v="1"/>
  </r>
  <r>
    <x v="80"/>
    <x v="1"/>
    <x v="3"/>
    <x v="1"/>
    <x v="4"/>
    <x v="107"/>
    <x v="107"/>
    <x v="107"/>
    <x v="1"/>
    <x v="1"/>
    <x v="1"/>
    <x v="107"/>
    <x v="1"/>
  </r>
  <r>
    <x v="81"/>
    <x v="2"/>
    <x v="3"/>
    <x v="6"/>
    <x v="8"/>
    <x v="108"/>
    <x v="108"/>
    <x v="108"/>
    <x v="1"/>
    <x v="1"/>
    <x v="1"/>
    <x v="108"/>
    <x v="1"/>
  </r>
  <r>
    <x v="19"/>
    <x v="1"/>
    <x v="3"/>
    <x v="0"/>
    <x v="4"/>
    <x v="109"/>
    <x v="109"/>
    <x v="109"/>
    <x v="1"/>
    <x v="1"/>
    <x v="1"/>
    <x v="109"/>
    <x v="1"/>
  </r>
  <r>
    <x v="80"/>
    <x v="2"/>
    <x v="2"/>
    <x v="3"/>
    <x v="4"/>
    <x v="110"/>
    <x v="110"/>
    <x v="110"/>
    <x v="1"/>
    <x v="1"/>
    <x v="1"/>
    <x v="110"/>
    <x v="1"/>
  </r>
  <r>
    <x v="50"/>
    <x v="3"/>
    <x v="0"/>
    <x v="6"/>
    <x v="2"/>
    <x v="111"/>
    <x v="111"/>
    <x v="111"/>
    <x v="1"/>
    <x v="1"/>
    <x v="1"/>
    <x v="111"/>
    <x v="1"/>
  </r>
  <r>
    <x v="23"/>
    <x v="3"/>
    <x v="3"/>
    <x v="6"/>
    <x v="0"/>
    <x v="112"/>
    <x v="112"/>
    <x v="112"/>
    <x v="1"/>
    <x v="1"/>
    <x v="1"/>
    <x v="112"/>
    <x v="1"/>
  </r>
  <r>
    <x v="70"/>
    <x v="3"/>
    <x v="1"/>
    <x v="1"/>
    <x v="5"/>
    <x v="113"/>
    <x v="113"/>
    <x v="113"/>
    <x v="1"/>
    <x v="1"/>
    <x v="1"/>
    <x v="113"/>
    <x v="1"/>
  </r>
  <r>
    <x v="82"/>
    <x v="5"/>
    <x v="1"/>
    <x v="5"/>
    <x v="6"/>
    <x v="114"/>
    <x v="114"/>
    <x v="114"/>
    <x v="1"/>
    <x v="1"/>
    <x v="1"/>
    <x v="114"/>
    <x v="1"/>
  </r>
  <r>
    <x v="68"/>
    <x v="3"/>
    <x v="1"/>
    <x v="3"/>
    <x v="5"/>
    <x v="115"/>
    <x v="115"/>
    <x v="115"/>
    <x v="1"/>
    <x v="1"/>
    <x v="1"/>
    <x v="115"/>
    <x v="1"/>
  </r>
  <r>
    <x v="25"/>
    <x v="1"/>
    <x v="0"/>
    <x v="2"/>
    <x v="6"/>
    <x v="116"/>
    <x v="116"/>
    <x v="116"/>
    <x v="1"/>
    <x v="1"/>
    <x v="1"/>
    <x v="116"/>
    <x v="1"/>
  </r>
  <r>
    <x v="34"/>
    <x v="2"/>
    <x v="1"/>
    <x v="4"/>
    <x v="1"/>
    <x v="117"/>
    <x v="117"/>
    <x v="117"/>
    <x v="1"/>
    <x v="1"/>
    <x v="1"/>
    <x v="117"/>
    <x v="1"/>
  </r>
  <r>
    <x v="11"/>
    <x v="2"/>
    <x v="3"/>
    <x v="2"/>
    <x v="1"/>
    <x v="118"/>
    <x v="118"/>
    <x v="118"/>
    <x v="1"/>
    <x v="1"/>
    <x v="1"/>
    <x v="118"/>
    <x v="1"/>
  </r>
  <r>
    <x v="83"/>
    <x v="6"/>
    <x v="0"/>
    <x v="6"/>
    <x v="1"/>
    <x v="119"/>
    <x v="119"/>
    <x v="119"/>
    <x v="1"/>
    <x v="1"/>
    <x v="1"/>
    <x v="119"/>
    <x v="1"/>
  </r>
  <r>
    <x v="57"/>
    <x v="0"/>
    <x v="3"/>
    <x v="1"/>
    <x v="3"/>
    <x v="120"/>
    <x v="120"/>
    <x v="120"/>
    <x v="1"/>
    <x v="1"/>
    <x v="1"/>
    <x v="120"/>
    <x v="1"/>
  </r>
  <r>
    <x v="67"/>
    <x v="4"/>
    <x v="3"/>
    <x v="4"/>
    <x v="4"/>
    <x v="121"/>
    <x v="121"/>
    <x v="121"/>
    <x v="1"/>
    <x v="1"/>
    <x v="1"/>
    <x v="121"/>
    <x v="1"/>
  </r>
  <r>
    <x v="47"/>
    <x v="0"/>
    <x v="0"/>
    <x v="1"/>
    <x v="4"/>
    <x v="122"/>
    <x v="122"/>
    <x v="122"/>
    <x v="1"/>
    <x v="1"/>
    <x v="1"/>
    <x v="122"/>
    <x v="1"/>
  </r>
  <r>
    <x v="84"/>
    <x v="4"/>
    <x v="2"/>
    <x v="4"/>
    <x v="1"/>
    <x v="123"/>
    <x v="123"/>
    <x v="123"/>
    <x v="1"/>
    <x v="1"/>
    <x v="1"/>
    <x v="123"/>
    <x v="1"/>
  </r>
  <r>
    <x v="85"/>
    <x v="4"/>
    <x v="2"/>
    <x v="7"/>
    <x v="5"/>
    <x v="124"/>
    <x v="124"/>
    <x v="124"/>
    <x v="1"/>
    <x v="1"/>
    <x v="1"/>
    <x v="124"/>
    <x v="1"/>
  </r>
  <r>
    <x v="86"/>
    <x v="1"/>
    <x v="3"/>
    <x v="2"/>
    <x v="7"/>
    <x v="125"/>
    <x v="125"/>
    <x v="125"/>
    <x v="1"/>
    <x v="1"/>
    <x v="1"/>
    <x v="125"/>
    <x v="1"/>
  </r>
  <r>
    <x v="87"/>
    <x v="1"/>
    <x v="2"/>
    <x v="3"/>
    <x v="0"/>
    <x v="126"/>
    <x v="126"/>
    <x v="126"/>
    <x v="1"/>
    <x v="1"/>
    <x v="1"/>
    <x v="126"/>
    <x v="1"/>
  </r>
  <r>
    <x v="88"/>
    <x v="6"/>
    <x v="3"/>
    <x v="5"/>
    <x v="9"/>
    <x v="127"/>
    <x v="127"/>
    <x v="127"/>
    <x v="1"/>
    <x v="1"/>
    <x v="1"/>
    <x v="127"/>
    <x v="1"/>
  </r>
  <r>
    <x v="8"/>
    <x v="6"/>
    <x v="1"/>
    <x v="5"/>
    <x v="6"/>
    <x v="128"/>
    <x v="128"/>
    <x v="128"/>
    <x v="1"/>
    <x v="1"/>
    <x v="1"/>
    <x v="128"/>
    <x v="1"/>
  </r>
  <r>
    <x v="40"/>
    <x v="4"/>
    <x v="1"/>
    <x v="1"/>
    <x v="2"/>
    <x v="129"/>
    <x v="129"/>
    <x v="129"/>
    <x v="1"/>
    <x v="1"/>
    <x v="1"/>
    <x v="129"/>
    <x v="1"/>
  </r>
  <r>
    <x v="89"/>
    <x v="4"/>
    <x v="3"/>
    <x v="6"/>
    <x v="3"/>
    <x v="130"/>
    <x v="130"/>
    <x v="130"/>
    <x v="1"/>
    <x v="1"/>
    <x v="1"/>
    <x v="130"/>
    <x v="1"/>
  </r>
  <r>
    <x v="80"/>
    <x v="3"/>
    <x v="2"/>
    <x v="4"/>
    <x v="3"/>
    <x v="131"/>
    <x v="131"/>
    <x v="131"/>
    <x v="1"/>
    <x v="1"/>
    <x v="1"/>
    <x v="131"/>
    <x v="1"/>
  </r>
  <r>
    <x v="40"/>
    <x v="0"/>
    <x v="2"/>
    <x v="4"/>
    <x v="0"/>
    <x v="132"/>
    <x v="132"/>
    <x v="132"/>
    <x v="1"/>
    <x v="1"/>
    <x v="1"/>
    <x v="132"/>
    <x v="1"/>
  </r>
  <r>
    <x v="90"/>
    <x v="1"/>
    <x v="3"/>
    <x v="4"/>
    <x v="1"/>
    <x v="133"/>
    <x v="133"/>
    <x v="133"/>
    <x v="1"/>
    <x v="1"/>
    <x v="1"/>
    <x v="133"/>
    <x v="1"/>
  </r>
  <r>
    <x v="12"/>
    <x v="0"/>
    <x v="0"/>
    <x v="4"/>
    <x v="6"/>
    <x v="134"/>
    <x v="134"/>
    <x v="134"/>
    <x v="1"/>
    <x v="1"/>
    <x v="1"/>
    <x v="134"/>
    <x v="1"/>
  </r>
  <r>
    <x v="35"/>
    <x v="4"/>
    <x v="3"/>
    <x v="4"/>
    <x v="4"/>
    <x v="135"/>
    <x v="135"/>
    <x v="135"/>
    <x v="1"/>
    <x v="1"/>
    <x v="1"/>
    <x v="135"/>
    <x v="1"/>
  </r>
  <r>
    <x v="86"/>
    <x v="6"/>
    <x v="0"/>
    <x v="0"/>
    <x v="4"/>
    <x v="136"/>
    <x v="136"/>
    <x v="136"/>
    <x v="1"/>
    <x v="1"/>
    <x v="1"/>
    <x v="136"/>
    <x v="1"/>
  </r>
  <r>
    <x v="91"/>
    <x v="2"/>
    <x v="2"/>
    <x v="0"/>
    <x v="2"/>
    <x v="137"/>
    <x v="137"/>
    <x v="137"/>
    <x v="1"/>
    <x v="1"/>
    <x v="1"/>
    <x v="137"/>
    <x v="1"/>
  </r>
  <r>
    <x v="92"/>
    <x v="1"/>
    <x v="2"/>
    <x v="0"/>
    <x v="1"/>
    <x v="138"/>
    <x v="138"/>
    <x v="138"/>
    <x v="1"/>
    <x v="1"/>
    <x v="1"/>
    <x v="138"/>
    <x v="1"/>
  </r>
  <r>
    <x v="36"/>
    <x v="0"/>
    <x v="0"/>
    <x v="7"/>
    <x v="4"/>
    <x v="139"/>
    <x v="139"/>
    <x v="139"/>
    <x v="1"/>
    <x v="1"/>
    <x v="1"/>
    <x v="139"/>
    <x v="1"/>
  </r>
  <r>
    <x v="28"/>
    <x v="0"/>
    <x v="0"/>
    <x v="3"/>
    <x v="7"/>
    <x v="140"/>
    <x v="140"/>
    <x v="140"/>
    <x v="1"/>
    <x v="1"/>
    <x v="1"/>
    <x v="140"/>
    <x v="1"/>
  </r>
  <r>
    <x v="30"/>
    <x v="3"/>
    <x v="0"/>
    <x v="7"/>
    <x v="0"/>
    <x v="141"/>
    <x v="141"/>
    <x v="141"/>
    <x v="1"/>
    <x v="1"/>
    <x v="1"/>
    <x v="141"/>
    <x v="1"/>
  </r>
  <r>
    <x v="93"/>
    <x v="6"/>
    <x v="2"/>
    <x v="1"/>
    <x v="8"/>
    <x v="142"/>
    <x v="142"/>
    <x v="142"/>
    <x v="1"/>
    <x v="1"/>
    <x v="1"/>
    <x v="142"/>
    <x v="1"/>
  </r>
  <r>
    <x v="48"/>
    <x v="0"/>
    <x v="0"/>
    <x v="6"/>
    <x v="0"/>
    <x v="143"/>
    <x v="143"/>
    <x v="143"/>
    <x v="1"/>
    <x v="1"/>
    <x v="1"/>
    <x v="143"/>
    <x v="1"/>
  </r>
  <r>
    <x v="85"/>
    <x v="2"/>
    <x v="0"/>
    <x v="0"/>
    <x v="4"/>
    <x v="144"/>
    <x v="144"/>
    <x v="144"/>
    <x v="1"/>
    <x v="1"/>
    <x v="1"/>
    <x v="144"/>
    <x v="1"/>
  </r>
  <r>
    <x v="94"/>
    <x v="1"/>
    <x v="0"/>
    <x v="4"/>
    <x v="6"/>
    <x v="145"/>
    <x v="145"/>
    <x v="145"/>
    <x v="1"/>
    <x v="1"/>
    <x v="1"/>
    <x v="145"/>
    <x v="1"/>
  </r>
  <r>
    <x v="95"/>
    <x v="0"/>
    <x v="2"/>
    <x v="4"/>
    <x v="4"/>
    <x v="146"/>
    <x v="146"/>
    <x v="146"/>
    <x v="1"/>
    <x v="1"/>
    <x v="1"/>
    <x v="146"/>
    <x v="1"/>
  </r>
  <r>
    <x v="76"/>
    <x v="0"/>
    <x v="1"/>
    <x v="5"/>
    <x v="9"/>
    <x v="147"/>
    <x v="147"/>
    <x v="147"/>
    <x v="1"/>
    <x v="1"/>
    <x v="1"/>
    <x v="147"/>
    <x v="1"/>
  </r>
  <r>
    <x v="96"/>
    <x v="1"/>
    <x v="1"/>
    <x v="0"/>
    <x v="9"/>
    <x v="148"/>
    <x v="148"/>
    <x v="148"/>
    <x v="1"/>
    <x v="1"/>
    <x v="1"/>
    <x v="148"/>
    <x v="1"/>
  </r>
  <r>
    <x v="97"/>
    <x v="6"/>
    <x v="3"/>
    <x v="0"/>
    <x v="5"/>
    <x v="149"/>
    <x v="149"/>
    <x v="149"/>
    <x v="1"/>
    <x v="1"/>
    <x v="1"/>
    <x v="149"/>
    <x v="1"/>
  </r>
  <r>
    <x v="31"/>
    <x v="3"/>
    <x v="3"/>
    <x v="6"/>
    <x v="7"/>
    <x v="150"/>
    <x v="150"/>
    <x v="150"/>
    <x v="1"/>
    <x v="1"/>
    <x v="1"/>
    <x v="150"/>
    <x v="1"/>
  </r>
  <r>
    <x v="98"/>
    <x v="1"/>
    <x v="1"/>
    <x v="7"/>
    <x v="5"/>
    <x v="151"/>
    <x v="151"/>
    <x v="151"/>
    <x v="1"/>
    <x v="1"/>
    <x v="1"/>
    <x v="151"/>
    <x v="1"/>
  </r>
  <r>
    <x v="99"/>
    <x v="5"/>
    <x v="2"/>
    <x v="6"/>
    <x v="7"/>
    <x v="152"/>
    <x v="152"/>
    <x v="152"/>
    <x v="1"/>
    <x v="1"/>
    <x v="1"/>
    <x v="152"/>
    <x v="1"/>
  </r>
  <r>
    <x v="100"/>
    <x v="0"/>
    <x v="1"/>
    <x v="2"/>
    <x v="4"/>
    <x v="153"/>
    <x v="153"/>
    <x v="153"/>
    <x v="1"/>
    <x v="1"/>
    <x v="1"/>
    <x v="153"/>
    <x v="1"/>
  </r>
  <r>
    <x v="73"/>
    <x v="6"/>
    <x v="1"/>
    <x v="6"/>
    <x v="1"/>
    <x v="154"/>
    <x v="154"/>
    <x v="154"/>
    <x v="1"/>
    <x v="1"/>
    <x v="1"/>
    <x v="154"/>
    <x v="1"/>
  </r>
  <r>
    <x v="101"/>
    <x v="0"/>
    <x v="3"/>
    <x v="1"/>
    <x v="7"/>
    <x v="155"/>
    <x v="155"/>
    <x v="155"/>
    <x v="1"/>
    <x v="1"/>
    <x v="1"/>
    <x v="155"/>
    <x v="1"/>
  </r>
  <r>
    <x v="25"/>
    <x v="0"/>
    <x v="1"/>
    <x v="7"/>
    <x v="9"/>
    <x v="156"/>
    <x v="156"/>
    <x v="156"/>
    <x v="1"/>
    <x v="1"/>
    <x v="1"/>
    <x v="156"/>
    <x v="1"/>
  </r>
  <r>
    <x v="102"/>
    <x v="0"/>
    <x v="2"/>
    <x v="3"/>
    <x v="7"/>
    <x v="157"/>
    <x v="157"/>
    <x v="157"/>
    <x v="1"/>
    <x v="1"/>
    <x v="1"/>
    <x v="157"/>
    <x v="1"/>
  </r>
  <r>
    <x v="103"/>
    <x v="2"/>
    <x v="1"/>
    <x v="6"/>
    <x v="7"/>
    <x v="158"/>
    <x v="158"/>
    <x v="158"/>
    <x v="1"/>
    <x v="1"/>
    <x v="1"/>
    <x v="158"/>
    <x v="1"/>
  </r>
  <r>
    <x v="104"/>
    <x v="1"/>
    <x v="1"/>
    <x v="6"/>
    <x v="3"/>
    <x v="159"/>
    <x v="159"/>
    <x v="159"/>
    <x v="1"/>
    <x v="1"/>
    <x v="1"/>
    <x v="159"/>
    <x v="1"/>
  </r>
  <r>
    <x v="105"/>
    <x v="3"/>
    <x v="3"/>
    <x v="6"/>
    <x v="8"/>
    <x v="160"/>
    <x v="160"/>
    <x v="160"/>
    <x v="1"/>
    <x v="1"/>
    <x v="1"/>
    <x v="160"/>
    <x v="1"/>
  </r>
  <r>
    <x v="106"/>
    <x v="5"/>
    <x v="1"/>
    <x v="2"/>
    <x v="5"/>
    <x v="161"/>
    <x v="161"/>
    <x v="161"/>
    <x v="1"/>
    <x v="1"/>
    <x v="1"/>
    <x v="161"/>
    <x v="1"/>
  </r>
  <r>
    <x v="7"/>
    <x v="0"/>
    <x v="0"/>
    <x v="4"/>
    <x v="8"/>
    <x v="162"/>
    <x v="162"/>
    <x v="162"/>
    <x v="1"/>
    <x v="1"/>
    <x v="1"/>
    <x v="162"/>
    <x v="1"/>
  </r>
  <r>
    <x v="107"/>
    <x v="0"/>
    <x v="0"/>
    <x v="5"/>
    <x v="0"/>
    <x v="163"/>
    <x v="163"/>
    <x v="163"/>
    <x v="1"/>
    <x v="1"/>
    <x v="1"/>
    <x v="163"/>
    <x v="1"/>
  </r>
  <r>
    <x v="67"/>
    <x v="2"/>
    <x v="3"/>
    <x v="7"/>
    <x v="3"/>
    <x v="164"/>
    <x v="164"/>
    <x v="164"/>
    <x v="1"/>
    <x v="1"/>
    <x v="1"/>
    <x v="164"/>
    <x v="1"/>
  </r>
  <r>
    <x v="108"/>
    <x v="1"/>
    <x v="2"/>
    <x v="3"/>
    <x v="8"/>
    <x v="165"/>
    <x v="165"/>
    <x v="165"/>
    <x v="1"/>
    <x v="1"/>
    <x v="1"/>
    <x v="165"/>
    <x v="1"/>
  </r>
  <r>
    <x v="109"/>
    <x v="1"/>
    <x v="1"/>
    <x v="2"/>
    <x v="8"/>
    <x v="166"/>
    <x v="166"/>
    <x v="166"/>
    <x v="1"/>
    <x v="1"/>
    <x v="1"/>
    <x v="166"/>
    <x v="1"/>
  </r>
  <r>
    <x v="110"/>
    <x v="4"/>
    <x v="3"/>
    <x v="1"/>
    <x v="5"/>
    <x v="167"/>
    <x v="167"/>
    <x v="167"/>
    <x v="1"/>
    <x v="1"/>
    <x v="1"/>
    <x v="167"/>
    <x v="1"/>
  </r>
  <r>
    <x v="111"/>
    <x v="6"/>
    <x v="1"/>
    <x v="5"/>
    <x v="9"/>
    <x v="168"/>
    <x v="168"/>
    <x v="168"/>
    <x v="1"/>
    <x v="1"/>
    <x v="1"/>
    <x v="168"/>
    <x v="1"/>
  </r>
  <r>
    <x v="112"/>
    <x v="1"/>
    <x v="3"/>
    <x v="7"/>
    <x v="3"/>
    <x v="169"/>
    <x v="169"/>
    <x v="169"/>
    <x v="1"/>
    <x v="1"/>
    <x v="1"/>
    <x v="169"/>
    <x v="1"/>
  </r>
  <r>
    <x v="113"/>
    <x v="1"/>
    <x v="1"/>
    <x v="4"/>
    <x v="0"/>
    <x v="170"/>
    <x v="170"/>
    <x v="170"/>
    <x v="1"/>
    <x v="1"/>
    <x v="1"/>
    <x v="170"/>
    <x v="1"/>
  </r>
  <r>
    <x v="63"/>
    <x v="4"/>
    <x v="2"/>
    <x v="3"/>
    <x v="6"/>
    <x v="171"/>
    <x v="171"/>
    <x v="171"/>
    <x v="1"/>
    <x v="1"/>
    <x v="1"/>
    <x v="171"/>
    <x v="1"/>
  </r>
  <r>
    <x v="62"/>
    <x v="0"/>
    <x v="3"/>
    <x v="3"/>
    <x v="3"/>
    <x v="172"/>
    <x v="172"/>
    <x v="172"/>
    <x v="1"/>
    <x v="1"/>
    <x v="1"/>
    <x v="172"/>
    <x v="1"/>
  </r>
  <r>
    <x v="114"/>
    <x v="3"/>
    <x v="2"/>
    <x v="3"/>
    <x v="9"/>
    <x v="173"/>
    <x v="173"/>
    <x v="173"/>
    <x v="1"/>
    <x v="1"/>
    <x v="1"/>
    <x v="173"/>
    <x v="1"/>
  </r>
  <r>
    <x v="115"/>
    <x v="0"/>
    <x v="1"/>
    <x v="7"/>
    <x v="7"/>
    <x v="174"/>
    <x v="174"/>
    <x v="174"/>
    <x v="1"/>
    <x v="1"/>
    <x v="1"/>
    <x v="174"/>
    <x v="1"/>
  </r>
  <r>
    <x v="116"/>
    <x v="0"/>
    <x v="2"/>
    <x v="4"/>
    <x v="0"/>
    <x v="175"/>
    <x v="175"/>
    <x v="175"/>
    <x v="1"/>
    <x v="1"/>
    <x v="1"/>
    <x v="175"/>
    <x v="1"/>
  </r>
  <r>
    <x v="117"/>
    <x v="2"/>
    <x v="0"/>
    <x v="7"/>
    <x v="0"/>
    <x v="176"/>
    <x v="176"/>
    <x v="176"/>
    <x v="1"/>
    <x v="1"/>
    <x v="1"/>
    <x v="176"/>
    <x v="1"/>
  </r>
  <r>
    <x v="50"/>
    <x v="6"/>
    <x v="1"/>
    <x v="7"/>
    <x v="1"/>
    <x v="177"/>
    <x v="177"/>
    <x v="177"/>
    <x v="1"/>
    <x v="1"/>
    <x v="1"/>
    <x v="177"/>
    <x v="1"/>
  </r>
  <r>
    <x v="65"/>
    <x v="4"/>
    <x v="3"/>
    <x v="6"/>
    <x v="9"/>
    <x v="178"/>
    <x v="178"/>
    <x v="178"/>
    <x v="1"/>
    <x v="1"/>
    <x v="1"/>
    <x v="178"/>
    <x v="1"/>
  </r>
  <r>
    <x v="118"/>
    <x v="2"/>
    <x v="2"/>
    <x v="7"/>
    <x v="8"/>
    <x v="179"/>
    <x v="179"/>
    <x v="179"/>
    <x v="1"/>
    <x v="1"/>
    <x v="1"/>
    <x v="179"/>
    <x v="1"/>
  </r>
  <r>
    <x v="84"/>
    <x v="6"/>
    <x v="3"/>
    <x v="0"/>
    <x v="4"/>
    <x v="180"/>
    <x v="180"/>
    <x v="180"/>
    <x v="1"/>
    <x v="1"/>
    <x v="1"/>
    <x v="180"/>
    <x v="1"/>
  </r>
  <r>
    <x v="29"/>
    <x v="4"/>
    <x v="2"/>
    <x v="7"/>
    <x v="7"/>
    <x v="181"/>
    <x v="181"/>
    <x v="181"/>
    <x v="1"/>
    <x v="1"/>
    <x v="1"/>
    <x v="181"/>
    <x v="1"/>
  </r>
  <r>
    <x v="119"/>
    <x v="4"/>
    <x v="3"/>
    <x v="2"/>
    <x v="0"/>
    <x v="182"/>
    <x v="182"/>
    <x v="182"/>
    <x v="1"/>
    <x v="1"/>
    <x v="1"/>
    <x v="182"/>
    <x v="1"/>
  </r>
  <r>
    <x v="70"/>
    <x v="1"/>
    <x v="0"/>
    <x v="6"/>
    <x v="3"/>
    <x v="183"/>
    <x v="183"/>
    <x v="183"/>
    <x v="1"/>
    <x v="1"/>
    <x v="1"/>
    <x v="183"/>
    <x v="1"/>
  </r>
  <r>
    <x v="34"/>
    <x v="2"/>
    <x v="2"/>
    <x v="6"/>
    <x v="0"/>
    <x v="184"/>
    <x v="184"/>
    <x v="184"/>
    <x v="1"/>
    <x v="1"/>
    <x v="1"/>
    <x v="184"/>
    <x v="1"/>
  </r>
  <r>
    <x v="97"/>
    <x v="5"/>
    <x v="1"/>
    <x v="7"/>
    <x v="8"/>
    <x v="185"/>
    <x v="185"/>
    <x v="185"/>
    <x v="1"/>
    <x v="1"/>
    <x v="1"/>
    <x v="185"/>
    <x v="1"/>
  </r>
  <r>
    <x v="120"/>
    <x v="5"/>
    <x v="0"/>
    <x v="5"/>
    <x v="9"/>
    <x v="186"/>
    <x v="186"/>
    <x v="186"/>
    <x v="1"/>
    <x v="1"/>
    <x v="1"/>
    <x v="186"/>
    <x v="1"/>
  </r>
  <r>
    <x v="121"/>
    <x v="6"/>
    <x v="2"/>
    <x v="1"/>
    <x v="6"/>
    <x v="187"/>
    <x v="187"/>
    <x v="187"/>
    <x v="1"/>
    <x v="1"/>
    <x v="1"/>
    <x v="187"/>
    <x v="1"/>
  </r>
  <r>
    <x v="122"/>
    <x v="0"/>
    <x v="0"/>
    <x v="4"/>
    <x v="1"/>
    <x v="188"/>
    <x v="188"/>
    <x v="188"/>
    <x v="1"/>
    <x v="1"/>
    <x v="1"/>
    <x v="188"/>
    <x v="1"/>
  </r>
  <r>
    <x v="69"/>
    <x v="3"/>
    <x v="1"/>
    <x v="4"/>
    <x v="9"/>
    <x v="189"/>
    <x v="189"/>
    <x v="189"/>
    <x v="1"/>
    <x v="1"/>
    <x v="1"/>
    <x v="189"/>
    <x v="1"/>
  </r>
  <r>
    <x v="36"/>
    <x v="5"/>
    <x v="1"/>
    <x v="6"/>
    <x v="3"/>
    <x v="190"/>
    <x v="190"/>
    <x v="190"/>
    <x v="1"/>
    <x v="1"/>
    <x v="1"/>
    <x v="190"/>
    <x v="1"/>
  </r>
  <r>
    <x v="123"/>
    <x v="0"/>
    <x v="2"/>
    <x v="1"/>
    <x v="5"/>
    <x v="191"/>
    <x v="191"/>
    <x v="191"/>
    <x v="1"/>
    <x v="1"/>
    <x v="1"/>
    <x v="191"/>
    <x v="1"/>
  </r>
  <r>
    <x v="3"/>
    <x v="3"/>
    <x v="2"/>
    <x v="1"/>
    <x v="1"/>
    <x v="192"/>
    <x v="192"/>
    <x v="192"/>
    <x v="1"/>
    <x v="1"/>
    <x v="1"/>
    <x v="192"/>
    <x v="1"/>
  </r>
  <r>
    <x v="8"/>
    <x v="4"/>
    <x v="1"/>
    <x v="0"/>
    <x v="4"/>
    <x v="193"/>
    <x v="193"/>
    <x v="193"/>
    <x v="1"/>
    <x v="1"/>
    <x v="1"/>
    <x v="193"/>
    <x v="1"/>
  </r>
  <r>
    <x v="124"/>
    <x v="6"/>
    <x v="2"/>
    <x v="3"/>
    <x v="6"/>
    <x v="194"/>
    <x v="194"/>
    <x v="194"/>
    <x v="1"/>
    <x v="1"/>
    <x v="1"/>
    <x v="194"/>
    <x v="1"/>
  </r>
  <r>
    <x v="125"/>
    <x v="6"/>
    <x v="3"/>
    <x v="0"/>
    <x v="2"/>
    <x v="195"/>
    <x v="195"/>
    <x v="195"/>
    <x v="1"/>
    <x v="1"/>
    <x v="1"/>
    <x v="195"/>
    <x v="1"/>
  </r>
  <r>
    <x v="126"/>
    <x v="4"/>
    <x v="3"/>
    <x v="6"/>
    <x v="1"/>
    <x v="196"/>
    <x v="196"/>
    <x v="196"/>
    <x v="1"/>
    <x v="1"/>
    <x v="1"/>
    <x v="196"/>
    <x v="1"/>
  </r>
  <r>
    <x v="127"/>
    <x v="0"/>
    <x v="1"/>
    <x v="0"/>
    <x v="5"/>
    <x v="197"/>
    <x v="197"/>
    <x v="197"/>
    <x v="1"/>
    <x v="1"/>
    <x v="1"/>
    <x v="197"/>
    <x v="1"/>
  </r>
  <r>
    <x v="125"/>
    <x v="4"/>
    <x v="2"/>
    <x v="7"/>
    <x v="7"/>
    <x v="198"/>
    <x v="198"/>
    <x v="198"/>
    <x v="1"/>
    <x v="1"/>
    <x v="1"/>
    <x v="198"/>
    <x v="1"/>
  </r>
  <r>
    <x v="8"/>
    <x v="4"/>
    <x v="0"/>
    <x v="2"/>
    <x v="9"/>
    <x v="199"/>
    <x v="199"/>
    <x v="199"/>
    <x v="1"/>
    <x v="1"/>
    <x v="1"/>
    <x v="199"/>
    <x v="1"/>
  </r>
  <r>
    <x v="128"/>
    <x v="5"/>
    <x v="0"/>
    <x v="0"/>
    <x v="2"/>
    <x v="200"/>
    <x v="200"/>
    <x v="200"/>
    <x v="1"/>
    <x v="1"/>
    <x v="1"/>
    <x v="200"/>
    <x v="1"/>
  </r>
  <r>
    <x v="71"/>
    <x v="5"/>
    <x v="2"/>
    <x v="5"/>
    <x v="9"/>
    <x v="201"/>
    <x v="201"/>
    <x v="201"/>
    <x v="1"/>
    <x v="1"/>
    <x v="1"/>
    <x v="201"/>
    <x v="1"/>
  </r>
  <r>
    <x v="103"/>
    <x v="2"/>
    <x v="0"/>
    <x v="5"/>
    <x v="7"/>
    <x v="202"/>
    <x v="202"/>
    <x v="202"/>
    <x v="1"/>
    <x v="1"/>
    <x v="1"/>
    <x v="202"/>
    <x v="1"/>
  </r>
  <r>
    <x v="59"/>
    <x v="1"/>
    <x v="1"/>
    <x v="1"/>
    <x v="3"/>
    <x v="203"/>
    <x v="203"/>
    <x v="203"/>
    <x v="1"/>
    <x v="1"/>
    <x v="1"/>
    <x v="203"/>
    <x v="1"/>
  </r>
  <r>
    <x v="48"/>
    <x v="2"/>
    <x v="0"/>
    <x v="4"/>
    <x v="2"/>
    <x v="204"/>
    <x v="204"/>
    <x v="204"/>
    <x v="1"/>
    <x v="1"/>
    <x v="1"/>
    <x v="204"/>
    <x v="1"/>
  </r>
  <r>
    <x v="74"/>
    <x v="2"/>
    <x v="1"/>
    <x v="5"/>
    <x v="7"/>
    <x v="205"/>
    <x v="205"/>
    <x v="205"/>
    <x v="1"/>
    <x v="1"/>
    <x v="1"/>
    <x v="205"/>
    <x v="1"/>
  </r>
  <r>
    <x v="69"/>
    <x v="0"/>
    <x v="3"/>
    <x v="5"/>
    <x v="6"/>
    <x v="206"/>
    <x v="206"/>
    <x v="206"/>
    <x v="1"/>
    <x v="1"/>
    <x v="1"/>
    <x v="206"/>
    <x v="1"/>
  </r>
  <r>
    <x v="2"/>
    <x v="2"/>
    <x v="1"/>
    <x v="4"/>
    <x v="8"/>
    <x v="207"/>
    <x v="207"/>
    <x v="207"/>
    <x v="1"/>
    <x v="1"/>
    <x v="1"/>
    <x v="207"/>
    <x v="1"/>
  </r>
  <r>
    <x v="129"/>
    <x v="3"/>
    <x v="1"/>
    <x v="5"/>
    <x v="8"/>
    <x v="208"/>
    <x v="208"/>
    <x v="208"/>
    <x v="1"/>
    <x v="1"/>
    <x v="1"/>
    <x v="208"/>
    <x v="1"/>
  </r>
  <r>
    <x v="130"/>
    <x v="0"/>
    <x v="3"/>
    <x v="4"/>
    <x v="3"/>
    <x v="209"/>
    <x v="209"/>
    <x v="209"/>
    <x v="1"/>
    <x v="1"/>
    <x v="1"/>
    <x v="209"/>
    <x v="1"/>
  </r>
  <r>
    <x v="76"/>
    <x v="5"/>
    <x v="1"/>
    <x v="0"/>
    <x v="8"/>
    <x v="210"/>
    <x v="210"/>
    <x v="210"/>
    <x v="1"/>
    <x v="1"/>
    <x v="1"/>
    <x v="210"/>
    <x v="1"/>
  </r>
  <r>
    <x v="127"/>
    <x v="3"/>
    <x v="2"/>
    <x v="7"/>
    <x v="1"/>
    <x v="211"/>
    <x v="211"/>
    <x v="211"/>
    <x v="1"/>
    <x v="1"/>
    <x v="1"/>
    <x v="211"/>
    <x v="1"/>
  </r>
  <r>
    <x v="131"/>
    <x v="4"/>
    <x v="1"/>
    <x v="1"/>
    <x v="2"/>
    <x v="212"/>
    <x v="212"/>
    <x v="212"/>
    <x v="1"/>
    <x v="1"/>
    <x v="1"/>
    <x v="212"/>
    <x v="1"/>
  </r>
  <r>
    <x v="2"/>
    <x v="4"/>
    <x v="1"/>
    <x v="4"/>
    <x v="4"/>
    <x v="213"/>
    <x v="213"/>
    <x v="213"/>
    <x v="1"/>
    <x v="1"/>
    <x v="1"/>
    <x v="213"/>
    <x v="1"/>
  </r>
  <r>
    <x v="113"/>
    <x v="4"/>
    <x v="1"/>
    <x v="5"/>
    <x v="2"/>
    <x v="214"/>
    <x v="214"/>
    <x v="214"/>
    <x v="1"/>
    <x v="1"/>
    <x v="1"/>
    <x v="214"/>
    <x v="1"/>
  </r>
  <r>
    <x v="132"/>
    <x v="6"/>
    <x v="2"/>
    <x v="1"/>
    <x v="5"/>
    <x v="215"/>
    <x v="215"/>
    <x v="215"/>
    <x v="1"/>
    <x v="1"/>
    <x v="1"/>
    <x v="215"/>
    <x v="1"/>
  </r>
  <r>
    <x v="33"/>
    <x v="1"/>
    <x v="2"/>
    <x v="3"/>
    <x v="6"/>
    <x v="216"/>
    <x v="216"/>
    <x v="216"/>
    <x v="1"/>
    <x v="1"/>
    <x v="1"/>
    <x v="216"/>
    <x v="1"/>
  </r>
  <r>
    <x v="119"/>
    <x v="3"/>
    <x v="0"/>
    <x v="0"/>
    <x v="9"/>
    <x v="217"/>
    <x v="217"/>
    <x v="217"/>
    <x v="1"/>
    <x v="1"/>
    <x v="1"/>
    <x v="217"/>
    <x v="1"/>
  </r>
  <r>
    <x v="133"/>
    <x v="2"/>
    <x v="3"/>
    <x v="0"/>
    <x v="7"/>
    <x v="218"/>
    <x v="218"/>
    <x v="218"/>
    <x v="1"/>
    <x v="1"/>
    <x v="1"/>
    <x v="218"/>
    <x v="1"/>
  </r>
  <r>
    <x v="134"/>
    <x v="0"/>
    <x v="1"/>
    <x v="3"/>
    <x v="0"/>
    <x v="219"/>
    <x v="219"/>
    <x v="219"/>
    <x v="1"/>
    <x v="1"/>
    <x v="1"/>
    <x v="219"/>
    <x v="1"/>
  </r>
  <r>
    <x v="86"/>
    <x v="5"/>
    <x v="2"/>
    <x v="2"/>
    <x v="2"/>
    <x v="220"/>
    <x v="220"/>
    <x v="220"/>
    <x v="1"/>
    <x v="1"/>
    <x v="1"/>
    <x v="220"/>
    <x v="1"/>
  </r>
  <r>
    <x v="135"/>
    <x v="2"/>
    <x v="1"/>
    <x v="0"/>
    <x v="8"/>
    <x v="221"/>
    <x v="221"/>
    <x v="221"/>
    <x v="1"/>
    <x v="1"/>
    <x v="1"/>
    <x v="221"/>
    <x v="1"/>
  </r>
  <r>
    <x v="83"/>
    <x v="0"/>
    <x v="3"/>
    <x v="6"/>
    <x v="7"/>
    <x v="222"/>
    <x v="222"/>
    <x v="222"/>
    <x v="1"/>
    <x v="1"/>
    <x v="1"/>
    <x v="222"/>
    <x v="1"/>
  </r>
  <r>
    <x v="45"/>
    <x v="0"/>
    <x v="3"/>
    <x v="3"/>
    <x v="6"/>
    <x v="223"/>
    <x v="223"/>
    <x v="223"/>
    <x v="1"/>
    <x v="1"/>
    <x v="1"/>
    <x v="223"/>
    <x v="1"/>
  </r>
  <r>
    <x v="41"/>
    <x v="5"/>
    <x v="2"/>
    <x v="2"/>
    <x v="2"/>
    <x v="224"/>
    <x v="224"/>
    <x v="224"/>
    <x v="1"/>
    <x v="1"/>
    <x v="1"/>
    <x v="224"/>
    <x v="1"/>
  </r>
  <r>
    <x v="96"/>
    <x v="0"/>
    <x v="1"/>
    <x v="3"/>
    <x v="9"/>
    <x v="225"/>
    <x v="225"/>
    <x v="225"/>
    <x v="1"/>
    <x v="1"/>
    <x v="1"/>
    <x v="225"/>
    <x v="1"/>
  </r>
  <r>
    <x v="3"/>
    <x v="1"/>
    <x v="2"/>
    <x v="5"/>
    <x v="0"/>
    <x v="226"/>
    <x v="226"/>
    <x v="226"/>
    <x v="1"/>
    <x v="1"/>
    <x v="1"/>
    <x v="226"/>
    <x v="1"/>
  </r>
  <r>
    <x v="131"/>
    <x v="4"/>
    <x v="0"/>
    <x v="4"/>
    <x v="5"/>
    <x v="227"/>
    <x v="227"/>
    <x v="227"/>
    <x v="1"/>
    <x v="1"/>
    <x v="1"/>
    <x v="227"/>
    <x v="1"/>
  </r>
  <r>
    <x v="124"/>
    <x v="5"/>
    <x v="2"/>
    <x v="1"/>
    <x v="4"/>
    <x v="228"/>
    <x v="228"/>
    <x v="228"/>
    <x v="1"/>
    <x v="1"/>
    <x v="1"/>
    <x v="228"/>
    <x v="1"/>
  </r>
  <r>
    <x v="125"/>
    <x v="2"/>
    <x v="2"/>
    <x v="5"/>
    <x v="7"/>
    <x v="229"/>
    <x v="229"/>
    <x v="229"/>
    <x v="1"/>
    <x v="1"/>
    <x v="1"/>
    <x v="229"/>
    <x v="1"/>
  </r>
  <r>
    <x v="53"/>
    <x v="0"/>
    <x v="3"/>
    <x v="0"/>
    <x v="7"/>
    <x v="230"/>
    <x v="230"/>
    <x v="230"/>
    <x v="1"/>
    <x v="1"/>
    <x v="1"/>
    <x v="230"/>
    <x v="1"/>
  </r>
  <r>
    <x v="4"/>
    <x v="5"/>
    <x v="0"/>
    <x v="7"/>
    <x v="4"/>
    <x v="231"/>
    <x v="231"/>
    <x v="231"/>
    <x v="1"/>
    <x v="1"/>
    <x v="1"/>
    <x v="231"/>
    <x v="1"/>
  </r>
  <r>
    <x v="37"/>
    <x v="0"/>
    <x v="3"/>
    <x v="7"/>
    <x v="2"/>
    <x v="232"/>
    <x v="232"/>
    <x v="232"/>
    <x v="1"/>
    <x v="1"/>
    <x v="1"/>
    <x v="232"/>
    <x v="1"/>
  </r>
  <r>
    <x v="71"/>
    <x v="5"/>
    <x v="0"/>
    <x v="5"/>
    <x v="3"/>
    <x v="233"/>
    <x v="233"/>
    <x v="233"/>
    <x v="1"/>
    <x v="1"/>
    <x v="1"/>
    <x v="233"/>
    <x v="1"/>
  </r>
  <r>
    <x v="53"/>
    <x v="2"/>
    <x v="1"/>
    <x v="7"/>
    <x v="8"/>
    <x v="234"/>
    <x v="234"/>
    <x v="234"/>
    <x v="1"/>
    <x v="1"/>
    <x v="1"/>
    <x v="234"/>
    <x v="1"/>
  </r>
  <r>
    <x v="136"/>
    <x v="1"/>
    <x v="0"/>
    <x v="2"/>
    <x v="5"/>
    <x v="235"/>
    <x v="235"/>
    <x v="235"/>
    <x v="1"/>
    <x v="1"/>
    <x v="1"/>
    <x v="235"/>
    <x v="1"/>
  </r>
  <r>
    <x v="85"/>
    <x v="6"/>
    <x v="0"/>
    <x v="5"/>
    <x v="8"/>
    <x v="236"/>
    <x v="236"/>
    <x v="236"/>
    <x v="1"/>
    <x v="1"/>
    <x v="1"/>
    <x v="236"/>
    <x v="1"/>
  </r>
  <r>
    <x v="137"/>
    <x v="2"/>
    <x v="2"/>
    <x v="3"/>
    <x v="7"/>
    <x v="237"/>
    <x v="237"/>
    <x v="237"/>
    <x v="1"/>
    <x v="1"/>
    <x v="1"/>
    <x v="237"/>
    <x v="1"/>
  </r>
  <r>
    <x v="138"/>
    <x v="3"/>
    <x v="0"/>
    <x v="1"/>
    <x v="3"/>
    <x v="238"/>
    <x v="238"/>
    <x v="238"/>
    <x v="1"/>
    <x v="1"/>
    <x v="1"/>
    <x v="238"/>
    <x v="1"/>
  </r>
  <r>
    <x v="14"/>
    <x v="3"/>
    <x v="3"/>
    <x v="6"/>
    <x v="9"/>
    <x v="239"/>
    <x v="239"/>
    <x v="239"/>
    <x v="1"/>
    <x v="1"/>
    <x v="1"/>
    <x v="239"/>
    <x v="1"/>
  </r>
  <r>
    <x v="59"/>
    <x v="1"/>
    <x v="0"/>
    <x v="0"/>
    <x v="8"/>
    <x v="240"/>
    <x v="240"/>
    <x v="240"/>
    <x v="1"/>
    <x v="1"/>
    <x v="1"/>
    <x v="240"/>
    <x v="1"/>
  </r>
  <r>
    <x v="11"/>
    <x v="3"/>
    <x v="0"/>
    <x v="3"/>
    <x v="9"/>
    <x v="241"/>
    <x v="241"/>
    <x v="241"/>
    <x v="1"/>
    <x v="1"/>
    <x v="1"/>
    <x v="241"/>
    <x v="1"/>
  </r>
  <r>
    <x v="123"/>
    <x v="1"/>
    <x v="0"/>
    <x v="1"/>
    <x v="5"/>
    <x v="242"/>
    <x v="242"/>
    <x v="242"/>
    <x v="1"/>
    <x v="1"/>
    <x v="1"/>
    <x v="242"/>
    <x v="1"/>
  </r>
  <r>
    <x v="27"/>
    <x v="5"/>
    <x v="3"/>
    <x v="0"/>
    <x v="1"/>
    <x v="243"/>
    <x v="243"/>
    <x v="243"/>
    <x v="1"/>
    <x v="1"/>
    <x v="1"/>
    <x v="243"/>
    <x v="1"/>
  </r>
  <r>
    <x v="31"/>
    <x v="5"/>
    <x v="2"/>
    <x v="6"/>
    <x v="0"/>
    <x v="221"/>
    <x v="244"/>
    <x v="244"/>
    <x v="1"/>
    <x v="1"/>
    <x v="1"/>
    <x v="244"/>
    <x v="1"/>
  </r>
  <r>
    <x v="66"/>
    <x v="3"/>
    <x v="1"/>
    <x v="6"/>
    <x v="1"/>
    <x v="244"/>
    <x v="245"/>
    <x v="245"/>
    <x v="1"/>
    <x v="1"/>
    <x v="1"/>
    <x v="245"/>
    <x v="1"/>
  </r>
  <r>
    <x v="130"/>
    <x v="0"/>
    <x v="3"/>
    <x v="2"/>
    <x v="0"/>
    <x v="245"/>
    <x v="246"/>
    <x v="246"/>
    <x v="1"/>
    <x v="1"/>
    <x v="1"/>
    <x v="246"/>
    <x v="1"/>
  </r>
  <r>
    <x v="139"/>
    <x v="3"/>
    <x v="0"/>
    <x v="1"/>
    <x v="6"/>
    <x v="246"/>
    <x v="247"/>
    <x v="247"/>
    <x v="1"/>
    <x v="1"/>
    <x v="1"/>
    <x v="247"/>
    <x v="1"/>
  </r>
  <r>
    <x v="126"/>
    <x v="0"/>
    <x v="1"/>
    <x v="6"/>
    <x v="6"/>
    <x v="247"/>
    <x v="248"/>
    <x v="248"/>
    <x v="1"/>
    <x v="1"/>
    <x v="1"/>
    <x v="248"/>
    <x v="1"/>
  </r>
  <r>
    <x v="90"/>
    <x v="3"/>
    <x v="3"/>
    <x v="5"/>
    <x v="0"/>
    <x v="248"/>
    <x v="249"/>
    <x v="249"/>
    <x v="1"/>
    <x v="1"/>
    <x v="1"/>
    <x v="249"/>
    <x v="1"/>
  </r>
  <r>
    <x v="131"/>
    <x v="0"/>
    <x v="2"/>
    <x v="1"/>
    <x v="6"/>
    <x v="249"/>
    <x v="250"/>
    <x v="250"/>
    <x v="1"/>
    <x v="1"/>
    <x v="1"/>
    <x v="250"/>
    <x v="1"/>
  </r>
  <r>
    <x v="50"/>
    <x v="5"/>
    <x v="1"/>
    <x v="1"/>
    <x v="5"/>
    <x v="250"/>
    <x v="251"/>
    <x v="251"/>
    <x v="1"/>
    <x v="1"/>
    <x v="1"/>
    <x v="251"/>
    <x v="1"/>
  </r>
  <r>
    <x v="33"/>
    <x v="6"/>
    <x v="2"/>
    <x v="4"/>
    <x v="8"/>
    <x v="251"/>
    <x v="252"/>
    <x v="252"/>
    <x v="1"/>
    <x v="1"/>
    <x v="1"/>
    <x v="252"/>
    <x v="1"/>
  </r>
  <r>
    <x v="140"/>
    <x v="3"/>
    <x v="0"/>
    <x v="0"/>
    <x v="9"/>
    <x v="252"/>
    <x v="253"/>
    <x v="253"/>
    <x v="1"/>
    <x v="1"/>
    <x v="1"/>
    <x v="253"/>
    <x v="1"/>
  </r>
  <r>
    <x v="141"/>
    <x v="2"/>
    <x v="3"/>
    <x v="5"/>
    <x v="1"/>
    <x v="253"/>
    <x v="254"/>
    <x v="254"/>
    <x v="1"/>
    <x v="1"/>
    <x v="1"/>
    <x v="254"/>
    <x v="1"/>
  </r>
  <r>
    <x v="47"/>
    <x v="1"/>
    <x v="3"/>
    <x v="2"/>
    <x v="3"/>
    <x v="254"/>
    <x v="255"/>
    <x v="255"/>
    <x v="1"/>
    <x v="1"/>
    <x v="1"/>
    <x v="255"/>
    <x v="1"/>
  </r>
  <r>
    <x v="53"/>
    <x v="1"/>
    <x v="3"/>
    <x v="1"/>
    <x v="3"/>
    <x v="255"/>
    <x v="256"/>
    <x v="256"/>
    <x v="1"/>
    <x v="1"/>
    <x v="1"/>
    <x v="256"/>
    <x v="1"/>
  </r>
  <r>
    <x v="142"/>
    <x v="2"/>
    <x v="0"/>
    <x v="4"/>
    <x v="6"/>
    <x v="256"/>
    <x v="257"/>
    <x v="257"/>
    <x v="1"/>
    <x v="1"/>
    <x v="1"/>
    <x v="257"/>
    <x v="1"/>
  </r>
  <r>
    <x v="136"/>
    <x v="6"/>
    <x v="2"/>
    <x v="2"/>
    <x v="0"/>
    <x v="257"/>
    <x v="258"/>
    <x v="258"/>
    <x v="1"/>
    <x v="1"/>
    <x v="1"/>
    <x v="258"/>
    <x v="1"/>
  </r>
  <r>
    <x v="92"/>
    <x v="0"/>
    <x v="3"/>
    <x v="1"/>
    <x v="4"/>
    <x v="258"/>
    <x v="259"/>
    <x v="259"/>
    <x v="1"/>
    <x v="1"/>
    <x v="1"/>
    <x v="259"/>
    <x v="1"/>
  </r>
  <r>
    <x v="32"/>
    <x v="4"/>
    <x v="3"/>
    <x v="3"/>
    <x v="2"/>
    <x v="259"/>
    <x v="260"/>
    <x v="260"/>
    <x v="1"/>
    <x v="1"/>
    <x v="1"/>
    <x v="260"/>
    <x v="1"/>
  </r>
  <r>
    <x v="143"/>
    <x v="4"/>
    <x v="3"/>
    <x v="3"/>
    <x v="3"/>
    <x v="260"/>
    <x v="261"/>
    <x v="261"/>
    <x v="1"/>
    <x v="1"/>
    <x v="1"/>
    <x v="261"/>
    <x v="1"/>
  </r>
  <r>
    <x v="112"/>
    <x v="6"/>
    <x v="3"/>
    <x v="0"/>
    <x v="2"/>
    <x v="261"/>
    <x v="262"/>
    <x v="262"/>
    <x v="1"/>
    <x v="1"/>
    <x v="1"/>
    <x v="262"/>
    <x v="1"/>
  </r>
  <r>
    <x v="144"/>
    <x v="6"/>
    <x v="0"/>
    <x v="7"/>
    <x v="0"/>
    <x v="262"/>
    <x v="263"/>
    <x v="263"/>
    <x v="1"/>
    <x v="1"/>
    <x v="1"/>
    <x v="263"/>
    <x v="1"/>
  </r>
  <r>
    <x v="15"/>
    <x v="5"/>
    <x v="1"/>
    <x v="4"/>
    <x v="3"/>
    <x v="263"/>
    <x v="264"/>
    <x v="264"/>
    <x v="1"/>
    <x v="1"/>
    <x v="1"/>
    <x v="264"/>
    <x v="1"/>
  </r>
  <r>
    <x v="75"/>
    <x v="4"/>
    <x v="1"/>
    <x v="6"/>
    <x v="1"/>
    <x v="264"/>
    <x v="265"/>
    <x v="265"/>
    <x v="1"/>
    <x v="1"/>
    <x v="1"/>
    <x v="265"/>
    <x v="1"/>
  </r>
  <r>
    <x v="130"/>
    <x v="2"/>
    <x v="2"/>
    <x v="3"/>
    <x v="4"/>
    <x v="265"/>
    <x v="266"/>
    <x v="266"/>
    <x v="1"/>
    <x v="1"/>
    <x v="1"/>
    <x v="266"/>
    <x v="1"/>
  </r>
  <r>
    <x v="131"/>
    <x v="1"/>
    <x v="0"/>
    <x v="5"/>
    <x v="2"/>
    <x v="266"/>
    <x v="267"/>
    <x v="267"/>
    <x v="1"/>
    <x v="1"/>
    <x v="1"/>
    <x v="267"/>
    <x v="1"/>
  </r>
  <r>
    <x v="145"/>
    <x v="1"/>
    <x v="2"/>
    <x v="1"/>
    <x v="8"/>
    <x v="267"/>
    <x v="268"/>
    <x v="268"/>
    <x v="1"/>
    <x v="1"/>
    <x v="1"/>
    <x v="268"/>
    <x v="1"/>
  </r>
  <r>
    <x v="32"/>
    <x v="3"/>
    <x v="3"/>
    <x v="6"/>
    <x v="6"/>
    <x v="268"/>
    <x v="269"/>
    <x v="269"/>
    <x v="1"/>
    <x v="1"/>
    <x v="1"/>
    <x v="269"/>
    <x v="1"/>
  </r>
  <r>
    <x v="54"/>
    <x v="3"/>
    <x v="3"/>
    <x v="1"/>
    <x v="9"/>
    <x v="269"/>
    <x v="270"/>
    <x v="270"/>
    <x v="1"/>
    <x v="1"/>
    <x v="1"/>
    <x v="270"/>
    <x v="1"/>
  </r>
  <r>
    <x v="64"/>
    <x v="0"/>
    <x v="3"/>
    <x v="5"/>
    <x v="8"/>
    <x v="270"/>
    <x v="271"/>
    <x v="271"/>
    <x v="1"/>
    <x v="1"/>
    <x v="1"/>
    <x v="271"/>
    <x v="1"/>
  </r>
  <r>
    <x v="4"/>
    <x v="4"/>
    <x v="1"/>
    <x v="7"/>
    <x v="1"/>
    <x v="271"/>
    <x v="272"/>
    <x v="272"/>
    <x v="1"/>
    <x v="1"/>
    <x v="1"/>
    <x v="272"/>
    <x v="1"/>
  </r>
  <r>
    <x v="55"/>
    <x v="2"/>
    <x v="2"/>
    <x v="4"/>
    <x v="0"/>
    <x v="272"/>
    <x v="273"/>
    <x v="273"/>
    <x v="1"/>
    <x v="1"/>
    <x v="1"/>
    <x v="273"/>
    <x v="1"/>
  </r>
  <r>
    <x v="22"/>
    <x v="3"/>
    <x v="3"/>
    <x v="1"/>
    <x v="3"/>
    <x v="273"/>
    <x v="274"/>
    <x v="274"/>
    <x v="1"/>
    <x v="1"/>
    <x v="1"/>
    <x v="274"/>
    <x v="1"/>
  </r>
  <r>
    <x v="16"/>
    <x v="3"/>
    <x v="1"/>
    <x v="3"/>
    <x v="6"/>
    <x v="274"/>
    <x v="275"/>
    <x v="275"/>
    <x v="1"/>
    <x v="1"/>
    <x v="1"/>
    <x v="275"/>
    <x v="1"/>
  </r>
  <r>
    <x v="27"/>
    <x v="1"/>
    <x v="1"/>
    <x v="4"/>
    <x v="3"/>
    <x v="275"/>
    <x v="276"/>
    <x v="276"/>
    <x v="1"/>
    <x v="1"/>
    <x v="1"/>
    <x v="276"/>
    <x v="1"/>
  </r>
  <r>
    <x v="137"/>
    <x v="4"/>
    <x v="0"/>
    <x v="4"/>
    <x v="3"/>
    <x v="276"/>
    <x v="277"/>
    <x v="277"/>
    <x v="1"/>
    <x v="1"/>
    <x v="1"/>
    <x v="277"/>
    <x v="1"/>
  </r>
  <r>
    <x v="104"/>
    <x v="6"/>
    <x v="0"/>
    <x v="6"/>
    <x v="8"/>
    <x v="277"/>
    <x v="278"/>
    <x v="278"/>
    <x v="1"/>
    <x v="1"/>
    <x v="1"/>
    <x v="278"/>
    <x v="1"/>
  </r>
  <r>
    <x v="94"/>
    <x v="6"/>
    <x v="1"/>
    <x v="7"/>
    <x v="6"/>
    <x v="278"/>
    <x v="279"/>
    <x v="279"/>
    <x v="1"/>
    <x v="1"/>
    <x v="1"/>
    <x v="279"/>
    <x v="1"/>
  </r>
  <r>
    <x v="16"/>
    <x v="0"/>
    <x v="1"/>
    <x v="1"/>
    <x v="6"/>
    <x v="279"/>
    <x v="280"/>
    <x v="280"/>
    <x v="1"/>
    <x v="1"/>
    <x v="1"/>
    <x v="280"/>
    <x v="1"/>
  </r>
  <r>
    <x v="143"/>
    <x v="6"/>
    <x v="0"/>
    <x v="5"/>
    <x v="2"/>
    <x v="280"/>
    <x v="281"/>
    <x v="281"/>
    <x v="1"/>
    <x v="1"/>
    <x v="1"/>
    <x v="281"/>
    <x v="1"/>
  </r>
  <r>
    <x v="22"/>
    <x v="1"/>
    <x v="1"/>
    <x v="4"/>
    <x v="9"/>
    <x v="281"/>
    <x v="282"/>
    <x v="282"/>
    <x v="1"/>
    <x v="1"/>
    <x v="1"/>
    <x v="282"/>
    <x v="1"/>
  </r>
  <r>
    <x v="95"/>
    <x v="5"/>
    <x v="0"/>
    <x v="0"/>
    <x v="7"/>
    <x v="282"/>
    <x v="283"/>
    <x v="283"/>
    <x v="1"/>
    <x v="1"/>
    <x v="1"/>
    <x v="283"/>
    <x v="1"/>
  </r>
  <r>
    <x v="45"/>
    <x v="4"/>
    <x v="1"/>
    <x v="6"/>
    <x v="3"/>
    <x v="283"/>
    <x v="284"/>
    <x v="284"/>
    <x v="1"/>
    <x v="1"/>
    <x v="1"/>
    <x v="284"/>
    <x v="1"/>
  </r>
  <r>
    <x v="117"/>
    <x v="1"/>
    <x v="3"/>
    <x v="4"/>
    <x v="8"/>
    <x v="284"/>
    <x v="285"/>
    <x v="285"/>
    <x v="1"/>
    <x v="1"/>
    <x v="1"/>
    <x v="285"/>
    <x v="1"/>
  </r>
  <r>
    <x v="49"/>
    <x v="6"/>
    <x v="1"/>
    <x v="2"/>
    <x v="3"/>
    <x v="285"/>
    <x v="286"/>
    <x v="286"/>
    <x v="1"/>
    <x v="1"/>
    <x v="1"/>
    <x v="286"/>
    <x v="1"/>
  </r>
  <r>
    <x v="62"/>
    <x v="3"/>
    <x v="0"/>
    <x v="7"/>
    <x v="8"/>
    <x v="286"/>
    <x v="287"/>
    <x v="287"/>
    <x v="1"/>
    <x v="1"/>
    <x v="1"/>
    <x v="287"/>
    <x v="1"/>
  </r>
  <r>
    <x v="84"/>
    <x v="4"/>
    <x v="1"/>
    <x v="5"/>
    <x v="3"/>
    <x v="287"/>
    <x v="288"/>
    <x v="288"/>
    <x v="1"/>
    <x v="1"/>
    <x v="1"/>
    <x v="288"/>
    <x v="1"/>
  </r>
  <r>
    <x v="117"/>
    <x v="3"/>
    <x v="2"/>
    <x v="0"/>
    <x v="0"/>
    <x v="288"/>
    <x v="289"/>
    <x v="289"/>
    <x v="1"/>
    <x v="1"/>
    <x v="1"/>
    <x v="289"/>
    <x v="1"/>
  </r>
  <r>
    <x v="41"/>
    <x v="5"/>
    <x v="2"/>
    <x v="0"/>
    <x v="2"/>
    <x v="289"/>
    <x v="290"/>
    <x v="290"/>
    <x v="1"/>
    <x v="1"/>
    <x v="1"/>
    <x v="290"/>
    <x v="1"/>
  </r>
  <r>
    <x v="43"/>
    <x v="4"/>
    <x v="1"/>
    <x v="2"/>
    <x v="4"/>
    <x v="290"/>
    <x v="291"/>
    <x v="291"/>
    <x v="1"/>
    <x v="1"/>
    <x v="1"/>
    <x v="291"/>
    <x v="1"/>
  </r>
  <r>
    <x v="57"/>
    <x v="0"/>
    <x v="2"/>
    <x v="5"/>
    <x v="6"/>
    <x v="291"/>
    <x v="292"/>
    <x v="292"/>
    <x v="1"/>
    <x v="1"/>
    <x v="1"/>
    <x v="292"/>
    <x v="1"/>
  </r>
  <r>
    <x v="72"/>
    <x v="0"/>
    <x v="1"/>
    <x v="4"/>
    <x v="9"/>
    <x v="292"/>
    <x v="293"/>
    <x v="293"/>
    <x v="1"/>
    <x v="1"/>
    <x v="1"/>
    <x v="293"/>
    <x v="1"/>
  </r>
  <r>
    <x v="146"/>
    <x v="2"/>
    <x v="2"/>
    <x v="6"/>
    <x v="5"/>
    <x v="293"/>
    <x v="294"/>
    <x v="294"/>
    <x v="1"/>
    <x v="1"/>
    <x v="1"/>
    <x v="294"/>
    <x v="1"/>
  </r>
  <r>
    <x v="22"/>
    <x v="5"/>
    <x v="0"/>
    <x v="1"/>
    <x v="2"/>
    <x v="294"/>
    <x v="295"/>
    <x v="295"/>
    <x v="1"/>
    <x v="1"/>
    <x v="1"/>
    <x v="295"/>
    <x v="1"/>
  </r>
  <r>
    <x v="20"/>
    <x v="3"/>
    <x v="3"/>
    <x v="0"/>
    <x v="4"/>
    <x v="295"/>
    <x v="296"/>
    <x v="296"/>
    <x v="1"/>
    <x v="1"/>
    <x v="1"/>
    <x v="296"/>
    <x v="1"/>
  </r>
  <r>
    <x v="52"/>
    <x v="4"/>
    <x v="2"/>
    <x v="7"/>
    <x v="7"/>
    <x v="296"/>
    <x v="297"/>
    <x v="297"/>
    <x v="1"/>
    <x v="1"/>
    <x v="1"/>
    <x v="297"/>
    <x v="1"/>
  </r>
  <r>
    <x v="39"/>
    <x v="5"/>
    <x v="0"/>
    <x v="0"/>
    <x v="5"/>
    <x v="297"/>
    <x v="298"/>
    <x v="298"/>
    <x v="1"/>
    <x v="1"/>
    <x v="1"/>
    <x v="298"/>
    <x v="1"/>
  </r>
  <r>
    <x v="83"/>
    <x v="5"/>
    <x v="3"/>
    <x v="4"/>
    <x v="8"/>
    <x v="298"/>
    <x v="299"/>
    <x v="299"/>
    <x v="1"/>
    <x v="1"/>
    <x v="1"/>
    <x v="299"/>
    <x v="1"/>
  </r>
  <r>
    <x v="117"/>
    <x v="1"/>
    <x v="1"/>
    <x v="7"/>
    <x v="9"/>
    <x v="299"/>
    <x v="300"/>
    <x v="300"/>
    <x v="1"/>
    <x v="1"/>
    <x v="1"/>
    <x v="300"/>
    <x v="1"/>
  </r>
  <r>
    <x v="94"/>
    <x v="0"/>
    <x v="1"/>
    <x v="6"/>
    <x v="8"/>
    <x v="300"/>
    <x v="301"/>
    <x v="301"/>
    <x v="1"/>
    <x v="1"/>
    <x v="1"/>
    <x v="301"/>
    <x v="1"/>
  </r>
  <r>
    <x v="40"/>
    <x v="3"/>
    <x v="3"/>
    <x v="1"/>
    <x v="0"/>
    <x v="301"/>
    <x v="302"/>
    <x v="302"/>
    <x v="1"/>
    <x v="1"/>
    <x v="1"/>
    <x v="302"/>
    <x v="1"/>
  </r>
  <r>
    <x v="53"/>
    <x v="3"/>
    <x v="2"/>
    <x v="2"/>
    <x v="0"/>
    <x v="302"/>
    <x v="303"/>
    <x v="303"/>
    <x v="1"/>
    <x v="1"/>
    <x v="1"/>
    <x v="303"/>
    <x v="1"/>
  </r>
  <r>
    <x v="84"/>
    <x v="6"/>
    <x v="2"/>
    <x v="0"/>
    <x v="7"/>
    <x v="303"/>
    <x v="304"/>
    <x v="304"/>
    <x v="1"/>
    <x v="1"/>
    <x v="1"/>
    <x v="304"/>
    <x v="1"/>
  </r>
  <r>
    <x v="87"/>
    <x v="6"/>
    <x v="3"/>
    <x v="3"/>
    <x v="8"/>
    <x v="304"/>
    <x v="305"/>
    <x v="305"/>
    <x v="1"/>
    <x v="1"/>
    <x v="1"/>
    <x v="305"/>
    <x v="1"/>
  </r>
  <r>
    <x v="81"/>
    <x v="3"/>
    <x v="3"/>
    <x v="2"/>
    <x v="9"/>
    <x v="305"/>
    <x v="306"/>
    <x v="306"/>
    <x v="1"/>
    <x v="1"/>
    <x v="1"/>
    <x v="306"/>
    <x v="1"/>
  </r>
  <r>
    <x v="146"/>
    <x v="5"/>
    <x v="3"/>
    <x v="7"/>
    <x v="0"/>
    <x v="306"/>
    <x v="307"/>
    <x v="307"/>
    <x v="1"/>
    <x v="1"/>
    <x v="1"/>
    <x v="307"/>
    <x v="1"/>
  </r>
  <r>
    <x v="147"/>
    <x v="5"/>
    <x v="0"/>
    <x v="7"/>
    <x v="0"/>
    <x v="307"/>
    <x v="308"/>
    <x v="308"/>
    <x v="1"/>
    <x v="1"/>
    <x v="1"/>
    <x v="308"/>
    <x v="1"/>
  </r>
  <r>
    <x v="148"/>
    <x v="2"/>
    <x v="1"/>
    <x v="4"/>
    <x v="1"/>
    <x v="308"/>
    <x v="309"/>
    <x v="309"/>
    <x v="1"/>
    <x v="1"/>
    <x v="1"/>
    <x v="309"/>
    <x v="1"/>
  </r>
  <r>
    <x v="149"/>
    <x v="2"/>
    <x v="3"/>
    <x v="7"/>
    <x v="1"/>
    <x v="309"/>
    <x v="310"/>
    <x v="310"/>
    <x v="1"/>
    <x v="1"/>
    <x v="1"/>
    <x v="310"/>
    <x v="1"/>
  </r>
  <r>
    <x v="147"/>
    <x v="6"/>
    <x v="2"/>
    <x v="6"/>
    <x v="1"/>
    <x v="310"/>
    <x v="311"/>
    <x v="311"/>
    <x v="1"/>
    <x v="1"/>
    <x v="1"/>
    <x v="311"/>
    <x v="1"/>
  </r>
  <r>
    <x v="10"/>
    <x v="0"/>
    <x v="0"/>
    <x v="6"/>
    <x v="8"/>
    <x v="311"/>
    <x v="312"/>
    <x v="312"/>
    <x v="1"/>
    <x v="1"/>
    <x v="1"/>
    <x v="312"/>
    <x v="1"/>
  </r>
  <r>
    <x v="77"/>
    <x v="4"/>
    <x v="0"/>
    <x v="4"/>
    <x v="4"/>
    <x v="312"/>
    <x v="313"/>
    <x v="313"/>
    <x v="1"/>
    <x v="1"/>
    <x v="1"/>
    <x v="313"/>
    <x v="1"/>
  </r>
  <r>
    <x v="134"/>
    <x v="6"/>
    <x v="0"/>
    <x v="4"/>
    <x v="6"/>
    <x v="313"/>
    <x v="314"/>
    <x v="314"/>
    <x v="1"/>
    <x v="1"/>
    <x v="1"/>
    <x v="314"/>
    <x v="1"/>
  </r>
  <r>
    <x v="96"/>
    <x v="5"/>
    <x v="0"/>
    <x v="0"/>
    <x v="7"/>
    <x v="314"/>
    <x v="315"/>
    <x v="315"/>
    <x v="1"/>
    <x v="1"/>
    <x v="1"/>
    <x v="315"/>
    <x v="1"/>
  </r>
  <r>
    <x v="96"/>
    <x v="2"/>
    <x v="0"/>
    <x v="7"/>
    <x v="5"/>
    <x v="315"/>
    <x v="316"/>
    <x v="316"/>
    <x v="1"/>
    <x v="1"/>
    <x v="1"/>
    <x v="316"/>
    <x v="1"/>
  </r>
  <r>
    <x v="147"/>
    <x v="1"/>
    <x v="3"/>
    <x v="5"/>
    <x v="0"/>
    <x v="316"/>
    <x v="317"/>
    <x v="317"/>
    <x v="1"/>
    <x v="1"/>
    <x v="1"/>
    <x v="317"/>
    <x v="1"/>
  </r>
  <r>
    <x v="93"/>
    <x v="5"/>
    <x v="0"/>
    <x v="2"/>
    <x v="6"/>
    <x v="317"/>
    <x v="318"/>
    <x v="318"/>
    <x v="1"/>
    <x v="1"/>
    <x v="1"/>
    <x v="318"/>
    <x v="1"/>
  </r>
  <r>
    <x v="57"/>
    <x v="1"/>
    <x v="2"/>
    <x v="2"/>
    <x v="7"/>
    <x v="318"/>
    <x v="319"/>
    <x v="319"/>
    <x v="1"/>
    <x v="1"/>
    <x v="1"/>
    <x v="319"/>
    <x v="1"/>
  </r>
  <r>
    <x v="131"/>
    <x v="2"/>
    <x v="1"/>
    <x v="1"/>
    <x v="9"/>
    <x v="319"/>
    <x v="320"/>
    <x v="320"/>
    <x v="1"/>
    <x v="1"/>
    <x v="1"/>
    <x v="320"/>
    <x v="1"/>
  </r>
  <r>
    <x v="150"/>
    <x v="5"/>
    <x v="3"/>
    <x v="2"/>
    <x v="9"/>
    <x v="320"/>
    <x v="321"/>
    <x v="321"/>
    <x v="1"/>
    <x v="1"/>
    <x v="1"/>
    <x v="321"/>
    <x v="1"/>
  </r>
  <r>
    <x v="136"/>
    <x v="3"/>
    <x v="3"/>
    <x v="3"/>
    <x v="1"/>
    <x v="321"/>
    <x v="322"/>
    <x v="322"/>
    <x v="1"/>
    <x v="1"/>
    <x v="1"/>
    <x v="322"/>
    <x v="1"/>
  </r>
  <r>
    <x v="32"/>
    <x v="4"/>
    <x v="3"/>
    <x v="6"/>
    <x v="9"/>
    <x v="322"/>
    <x v="323"/>
    <x v="323"/>
    <x v="1"/>
    <x v="1"/>
    <x v="1"/>
    <x v="323"/>
    <x v="1"/>
  </r>
  <r>
    <x v="0"/>
    <x v="6"/>
    <x v="1"/>
    <x v="5"/>
    <x v="8"/>
    <x v="323"/>
    <x v="324"/>
    <x v="324"/>
    <x v="1"/>
    <x v="1"/>
    <x v="1"/>
    <x v="324"/>
    <x v="1"/>
  </r>
  <r>
    <x v="114"/>
    <x v="5"/>
    <x v="3"/>
    <x v="2"/>
    <x v="4"/>
    <x v="324"/>
    <x v="325"/>
    <x v="325"/>
    <x v="1"/>
    <x v="1"/>
    <x v="1"/>
    <x v="325"/>
    <x v="1"/>
  </r>
  <r>
    <x v="148"/>
    <x v="4"/>
    <x v="0"/>
    <x v="2"/>
    <x v="0"/>
    <x v="325"/>
    <x v="326"/>
    <x v="326"/>
    <x v="1"/>
    <x v="1"/>
    <x v="1"/>
    <x v="326"/>
    <x v="1"/>
  </r>
  <r>
    <x v="23"/>
    <x v="0"/>
    <x v="3"/>
    <x v="2"/>
    <x v="1"/>
    <x v="326"/>
    <x v="327"/>
    <x v="327"/>
    <x v="1"/>
    <x v="1"/>
    <x v="1"/>
    <x v="327"/>
    <x v="1"/>
  </r>
  <r>
    <x v="104"/>
    <x v="5"/>
    <x v="3"/>
    <x v="7"/>
    <x v="1"/>
    <x v="327"/>
    <x v="328"/>
    <x v="328"/>
    <x v="1"/>
    <x v="1"/>
    <x v="1"/>
    <x v="328"/>
    <x v="1"/>
  </r>
  <r>
    <x v="134"/>
    <x v="1"/>
    <x v="1"/>
    <x v="5"/>
    <x v="7"/>
    <x v="328"/>
    <x v="329"/>
    <x v="329"/>
    <x v="1"/>
    <x v="1"/>
    <x v="1"/>
    <x v="329"/>
    <x v="1"/>
  </r>
  <r>
    <x v="47"/>
    <x v="0"/>
    <x v="1"/>
    <x v="6"/>
    <x v="8"/>
    <x v="329"/>
    <x v="330"/>
    <x v="330"/>
    <x v="1"/>
    <x v="1"/>
    <x v="1"/>
    <x v="330"/>
    <x v="1"/>
  </r>
  <r>
    <x v="124"/>
    <x v="0"/>
    <x v="3"/>
    <x v="7"/>
    <x v="1"/>
    <x v="330"/>
    <x v="331"/>
    <x v="331"/>
    <x v="1"/>
    <x v="1"/>
    <x v="1"/>
    <x v="331"/>
    <x v="1"/>
  </r>
  <r>
    <x v="128"/>
    <x v="3"/>
    <x v="0"/>
    <x v="3"/>
    <x v="0"/>
    <x v="331"/>
    <x v="332"/>
    <x v="332"/>
    <x v="1"/>
    <x v="1"/>
    <x v="1"/>
    <x v="332"/>
    <x v="1"/>
  </r>
  <r>
    <x v="75"/>
    <x v="3"/>
    <x v="1"/>
    <x v="7"/>
    <x v="4"/>
    <x v="332"/>
    <x v="333"/>
    <x v="333"/>
    <x v="1"/>
    <x v="1"/>
    <x v="1"/>
    <x v="333"/>
    <x v="1"/>
  </r>
  <r>
    <x v="16"/>
    <x v="5"/>
    <x v="2"/>
    <x v="3"/>
    <x v="0"/>
    <x v="333"/>
    <x v="334"/>
    <x v="334"/>
    <x v="1"/>
    <x v="1"/>
    <x v="1"/>
    <x v="334"/>
    <x v="1"/>
  </r>
  <r>
    <x v="41"/>
    <x v="2"/>
    <x v="3"/>
    <x v="0"/>
    <x v="8"/>
    <x v="334"/>
    <x v="335"/>
    <x v="335"/>
    <x v="1"/>
    <x v="1"/>
    <x v="1"/>
    <x v="335"/>
    <x v="1"/>
  </r>
  <r>
    <x v="25"/>
    <x v="4"/>
    <x v="1"/>
    <x v="3"/>
    <x v="1"/>
    <x v="335"/>
    <x v="336"/>
    <x v="336"/>
    <x v="1"/>
    <x v="1"/>
    <x v="1"/>
    <x v="336"/>
    <x v="1"/>
  </r>
  <r>
    <x v="91"/>
    <x v="2"/>
    <x v="2"/>
    <x v="4"/>
    <x v="7"/>
    <x v="336"/>
    <x v="337"/>
    <x v="337"/>
    <x v="1"/>
    <x v="1"/>
    <x v="1"/>
    <x v="337"/>
    <x v="1"/>
  </r>
  <r>
    <x v="132"/>
    <x v="4"/>
    <x v="3"/>
    <x v="7"/>
    <x v="6"/>
    <x v="337"/>
    <x v="338"/>
    <x v="338"/>
    <x v="1"/>
    <x v="1"/>
    <x v="1"/>
    <x v="338"/>
    <x v="1"/>
  </r>
  <r>
    <x v="151"/>
    <x v="5"/>
    <x v="3"/>
    <x v="4"/>
    <x v="1"/>
    <x v="338"/>
    <x v="339"/>
    <x v="339"/>
    <x v="1"/>
    <x v="1"/>
    <x v="1"/>
    <x v="339"/>
    <x v="1"/>
  </r>
  <r>
    <x v="92"/>
    <x v="6"/>
    <x v="1"/>
    <x v="2"/>
    <x v="7"/>
    <x v="339"/>
    <x v="340"/>
    <x v="340"/>
    <x v="1"/>
    <x v="1"/>
    <x v="1"/>
    <x v="340"/>
    <x v="1"/>
  </r>
  <r>
    <x v="80"/>
    <x v="3"/>
    <x v="0"/>
    <x v="6"/>
    <x v="6"/>
    <x v="340"/>
    <x v="341"/>
    <x v="341"/>
    <x v="1"/>
    <x v="1"/>
    <x v="1"/>
    <x v="341"/>
    <x v="1"/>
  </r>
  <r>
    <x v="10"/>
    <x v="4"/>
    <x v="2"/>
    <x v="0"/>
    <x v="0"/>
    <x v="341"/>
    <x v="342"/>
    <x v="342"/>
    <x v="1"/>
    <x v="1"/>
    <x v="1"/>
    <x v="342"/>
    <x v="1"/>
  </r>
  <r>
    <x v="152"/>
    <x v="5"/>
    <x v="3"/>
    <x v="7"/>
    <x v="2"/>
    <x v="342"/>
    <x v="343"/>
    <x v="343"/>
    <x v="1"/>
    <x v="1"/>
    <x v="1"/>
    <x v="343"/>
    <x v="1"/>
  </r>
  <r>
    <x v="69"/>
    <x v="2"/>
    <x v="1"/>
    <x v="0"/>
    <x v="6"/>
    <x v="343"/>
    <x v="344"/>
    <x v="344"/>
    <x v="1"/>
    <x v="1"/>
    <x v="1"/>
    <x v="344"/>
    <x v="1"/>
  </r>
  <r>
    <x v="73"/>
    <x v="6"/>
    <x v="0"/>
    <x v="4"/>
    <x v="4"/>
    <x v="344"/>
    <x v="345"/>
    <x v="345"/>
    <x v="1"/>
    <x v="1"/>
    <x v="1"/>
    <x v="345"/>
    <x v="1"/>
  </r>
  <r>
    <x v="106"/>
    <x v="3"/>
    <x v="3"/>
    <x v="5"/>
    <x v="7"/>
    <x v="345"/>
    <x v="346"/>
    <x v="346"/>
    <x v="1"/>
    <x v="1"/>
    <x v="1"/>
    <x v="346"/>
    <x v="1"/>
  </r>
  <r>
    <x v="115"/>
    <x v="0"/>
    <x v="3"/>
    <x v="0"/>
    <x v="6"/>
    <x v="346"/>
    <x v="347"/>
    <x v="347"/>
    <x v="1"/>
    <x v="1"/>
    <x v="1"/>
    <x v="347"/>
    <x v="1"/>
  </r>
  <r>
    <x v="26"/>
    <x v="5"/>
    <x v="0"/>
    <x v="6"/>
    <x v="2"/>
    <x v="347"/>
    <x v="348"/>
    <x v="348"/>
    <x v="1"/>
    <x v="1"/>
    <x v="1"/>
    <x v="348"/>
    <x v="1"/>
  </r>
  <r>
    <x v="125"/>
    <x v="4"/>
    <x v="1"/>
    <x v="2"/>
    <x v="1"/>
    <x v="348"/>
    <x v="349"/>
    <x v="349"/>
    <x v="1"/>
    <x v="1"/>
    <x v="1"/>
    <x v="349"/>
    <x v="1"/>
  </r>
  <r>
    <x v="153"/>
    <x v="2"/>
    <x v="1"/>
    <x v="0"/>
    <x v="4"/>
    <x v="349"/>
    <x v="350"/>
    <x v="350"/>
    <x v="1"/>
    <x v="1"/>
    <x v="1"/>
    <x v="350"/>
    <x v="1"/>
  </r>
  <r>
    <x v="73"/>
    <x v="5"/>
    <x v="3"/>
    <x v="2"/>
    <x v="0"/>
    <x v="350"/>
    <x v="351"/>
    <x v="351"/>
    <x v="1"/>
    <x v="1"/>
    <x v="1"/>
    <x v="351"/>
    <x v="1"/>
  </r>
  <r>
    <x v="109"/>
    <x v="2"/>
    <x v="3"/>
    <x v="3"/>
    <x v="9"/>
    <x v="351"/>
    <x v="352"/>
    <x v="352"/>
    <x v="1"/>
    <x v="1"/>
    <x v="1"/>
    <x v="352"/>
    <x v="1"/>
  </r>
  <r>
    <x v="90"/>
    <x v="0"/>
    <x v="1"/>
    <x v="1"/>
    <x v="6"/>
    <x v="352"/>
    <x v="353"/>
    <x v="353"/>
    <x v="1"/>
    <x v="1"/>
    <x v="1"/>
    <x v="353"/>
    <x v="1"/>
  </r>
  <r>
    <x v="50"/>
    <x v="2"/>
    <x v="0"/>
    <x v="4"/>
    <x v="1"/>
    <x v="353"/>
    <x v="354"/>
    <x v="354"/>
    <x v="1"/>
    <x v="1"/>
    <x v="1"/>
    <x v="354"/>
    <x v="1"/>
  </r>
  <r>
    <x v="136"/>
    <x v="1"/>
    <x v="2"/>
    <x v="5"/>
    <x v="5"/>
    <x v="354"/>
    <x v="355"/>
    <x v="355"/>
    <x v="1"/>
    <x v="1"/>
    <x v="1"/>
    <x v="355"/>
    <x v="1"/>
  </r>
  <r>
    <x v="154"/>
    <x v="3"/>
    <x v="0"/>
    <x v="6"/>
    <x v="6"/>
    <x v="355"/>
    <x v="356"/>
    <x v="356"/>
    <x v="1"/>
    <x v="1"/>
    <x v="1"/>
    <x v="356"/>
    <x v="1"/>
  </r>
  <r>
    <x v="118"/>
    <x v="2"/>
    <x v="3"/>
    <x v="1"/>
    <x v="8"/>
    <x v="356"/>
    <x v="357"/>
    <x v="357"/>
    <x v="1"/>
    <x v="1"/>
    <x v="1"/>
    <x v="357"/>
    <x v="1"/>
  </r>
  <r>
    <x v="155"/>
    <x v="2"/>
    <x v="0"/>
    <x v="7"/>
    <x v="8"/>
    <x v="357"/>
    <x v="358"/>
    <x v="358"/>
    <x v="1"/>
    <x v="1"/>
    <x v="1"/>
    <x v="358"/>
    <x v="1"/>
  </r>
  <r>
    <x v="41"/>
    <x v="5"/>
    <x v="3"/>
    <x v="7"/>
    <x v="1"/>
    <x v="358"/>
    <x v="359"/>
    <x v="359"/>
    <x v="1"/>
    <x v="1"/>
    <x v="1"/>
    <x v="359"/>
    <x v="1"/>
  </r>
  <r>
    <x v="2"/>
    <x v="1"/>
    <x v="3"/>
    <x v="3"/>
    <x v="9"/>
    <x v="359"/>
    <x v="360"/>
    <x v="360"/>
    <x v="1"/>
    <x v="1"/>
    <x v="1"/>
    <x v="360"/>
    <x v="1"/>
  </r>
  <r>
    <x v="156"/>
    <x v="3"/>
    <x v="2"/>
    <x v="1"/>
    <x v="5"/>
    <x v="360"/>
    <x v="361"/>
    <x v="361"/>
    <x v="1"/>
    <x v="1"/>
    <x v="1"/>
    <x v="361"/>
    <x v="1"/>
  </r>
  <r>
    <x v="25"/>
    <x v="0"/>
    <x v="0"/>
    <x v="4"/>
    <x v="3"/>
    <x v="361"/>
    <x v="362"/>
    <x v="362"/>
    <x v="1"/>
    <x v="1"/>
    <x v="1"/>
    <x v="362"/>
    <x v="1"/>
  </r>
  <r>
    <x v="77"/>
    <x v="0"/>
    <x v="1"/>
    <x v="2"/>
    <x v="1"/>
    <x v="362"/>
    <x v="363"/>
    <x v="363"/>
    <x v="1"/>
    <x v="1"/>
    <x v="1"/>
    <x v="363"/>
    <x v="1"/>
  </r>
  <r>
    <x v="157"/>
    <x v="6"/>
    <x v="2"/>
    <x v="4"/>
    <x v="3"/>
    <x v="363"/>
    <x v="364"/>
    <x v="364"/>
    <x v="1"/>
    <x v="1"/>
    <x v="1"/>
    <x v="364"/>
    <x v="1"/>
  </r>
  <r>
    <x v="68"/>
    <x v="1"/>
    <x v="3"/>
    <x v="3"/>
    <x v="6"/>
    <x v="364"/>
    <x v="365"/>
    <x v="365"/>
    <x v="1"/>
    <x v="1"/>
    <x v="1"/>
    <x v="365"/>
    <x v="1"/>
  </r>
  <r>
    <x v="20"/>
    <x v="2"/>
    <x v="2"/>
    <x v="1"/>
    <x v="5"/>
    <x v="365"/>
    <x v="366"/>
    <x v="366"/>
    <x v="1"/>
    <x v="1"/>
    <x v="1"/>
    <x v="366"/>
    <x v="1"/>
  </r>
  <r>
    <x v="119"/>
    <x v="5"/>
    <x v="0"/>
    <x v="3"/>
    <x v="6"/>
    <x v="366"/>
    <x v="367"/>
    <x v="367"/>
    <x v="1"/>
    <x v="1"/>
    <x v="1"/>
    <x v="367"/>
    <x v="1"/>
  </r>
  <r>
    <x v="40"/>
    <x v="2"/>
    <x v="1"/>
    <x v="7"/>
    <x v="5"/>
    <x v="367"/>
    <x v="368"/>
    <x v="368"/>
    <x v="1"/>
    <x v="1"/>
    <x v="1"/>
    <x v="368"/>
    <x v="1"/>
  </r>
  <r>
    <x v="111"/>
    <x v="3"/>
    <x v="0"/>
    <x v="6"/>
    <x v="8"/>
    <x v="368"/>
    <x v="369"/>
    <x v="369"/>
    <x v="1"/>
    <x v="1"/>
    <x v="1"/>
    <x v="369"/>
    <x v="1"/>
  </r>
  <r>
    <x v="158"/>
    <x v="6"/>
    <x v="2"/>
    <x v="5"/>
    <x v="3"/>
    <x v="369"/>
    <x v="370"/>
    <x v="370"/>
    <x v="1"/>
    <x v="1"/>
    <x v="1"/>
    <x v="370"/>
    <x v="1"/>
  </r>
  <r>
    <x v="91"/>
    <x v="1"/>
    <x v="2"/>
    <x v="1"/>
    <x v="1"/>
    <x v="370"/>
    <x v="371"/>
    <x v="371"/>
    <x v="1"/>
    <x v="1"/>
    <x v="1"/>
    <x v="371"/>
    <x v="1"/>
  </r>
  <r>
    <x v="89"/>
    <x v="0"/>
    <x v="2"/>
    <x v="0"/>
    <x v="3"/>
    <x v="371"/>
    <x v="372"/>
    <x v="372"/>
    <x v="1"/>
    <x v="1"/>
    <x v="1"/>
    <x v="372"/>
    <x v="1"/>
  </r>
  <r>
    <x v="133"/>
    <x v="0"/>
    <x v="3"/>
    <x v="7"/>
    <x v="1"/>
    <x v="372"/>
    <x v="373"/>
    <x v="373"/>
    <x v="1"/>
    <x v="1"/>
    <x v="1"/>
    <x v="373"/>
    <x v="1"/>
  </r>
  <r>
    <x v="159"/>
    <x v="4"/>
    <x v="1"/>
    <x v="7"/>
    <x v="2"/>
    <x v="373"/>
    <x v="374"/>
    <x v="374"/>
    <x v="1"/>
    <x v="1"/>
    <x v="1"/>
    <x v="374"/>
    <x v="1"/>
  </r>
  <r>
    <x v="24"/>
    <x v="1"/>
    <x v="2"/>
    <x v="0"/>
    <x v="2"/>
    <x v="374"/>
    <x v="375"/>
    <x v="375"/>
    <x v="1"/>
    <x v="1"/>
    <x v="1"/>
    <x v="375"/>
    <x v="1"/>
  </r>
  <r>
    <x v="124"/>
    <x v="6"/>
    <x v="0"/>
    <x v="2"/>
    <x v="7"/>
    <x v="375"/>
    <x v="376"/>
    <x v="376"/>
    <x v="1"/>
    <x v="1"/>
    <x v="1"/>
    <x v="376"/>
    <x v="1"/>
  </r>
  <r>
    <x v="158"/>
    <x v="5"/>
    <x v="1"/>
    <x v="7"/>
    <x v="3"/>
    <x v="376"/>
    <x v="377"/>
    <x v="377"/>
    <x v="1"/>
    <x v="1"/>
    <x v="1"/>
    <x v="377"/>
    <x v="1"/>
  </r>
  <r>
    <x v="44"/>
    <x v="6"/>
    <x v="1"/>
    <x v="1"/>
    <x v="6"/>
    <x v="377"/>
    <x v="378"/>
    <x v="378"/>
    <x v="1"/>
    <x v="1"/>
    <x v="1"/>
    <x v="378"/>
    <x v="1"/>
  </r>
  <r>
    <x v="4"/>
    <x v="1"/>
    <x v="3"/>
    <x v="0"/>
    <x v="5"/>
    <x v="378"/>
    <x v="379"/>
    <x v="379"/>
    <x v="1"/>
    <x v="1"/>
    <x v="1"/>
    <x v="379"/>
    <x v="1"/>
  </r>
  <r>
    <x v="113"/>
    <x v="3"/>
    <x v="0"/>
    <x v="1"/>
    <x v="2"/>
    <x v="379"/>
    <x v="380"/>
    <x v="380"/>
    <x v="1"/>
    <x v="1"/>
    <x v="1"/>
    <x v="380"/>
    <x v="1"/>
  </r>
  <r>
    <x v="160"/>
    <x v="0"/>
    <x v="1"/>
    <x v="1"/>
    <x v="0"/>
    <x v="380"/>
    <x v="381"/>
    <x v="381"/>
    <x v="1"/>
    <x v="1"/>
    <x v="1"/>
    <x v="381"/>
    <x v="1"/>
  </r>
  <r>
    <x v="156"/>
    <x v="0"/>
    <x v="2"/>
    <x v="6"/>
    <x v="1"/>
    <x v="381"/>
    <x v="382"/>
    <x v="382"/>
    <x v="1"/>
    <x v="1"/>
    <x v="1"/>
    <x v="382"/>
    <x v="1"/>
  </r>
  <r>
    <x v="107"/>
    <x v="4"/>
    <x v="3"/>
    <x v="0"/>
    <x v="3"/>
    <x v="382"/>
    <x v="383"/>
    <x v="383"/>
    <x v="1"/>
    <x v="1"/>
    <x v="1"/>
    <x v="383"/>
    <x v="1"/>
  </r>
  <r>
    <x v="57"/>
    <x v="1"/>
    <x v="1"/>
    <x v="2"/>
    <x v="3"/>
    <x v="383"/>
    <x v="384"/>
    <x v="384"/>
    <x v="1"/>
    <x v="1"/>
    <x v="1"/>
    <x v="384"/>
    <x v="1"/>
  </r>
  <r>
    <x v="11"/>
    <x v="3"/>
    <x v="3"/>
    <x v="3"/>
    <x v="8"/>
    <x v="384"/>
    <x v="385"/>
    <x v="385"/>
    <x v="1"/>
    <x v="1"/>
    <x v="1"/>
    <x v="385"/>
    <x v="1"/>
  </r>
  <r>
    <x v="109"/>
    <x v="3"/>
    <x v="0"/>
    <x v="6"/>
    <x v="6"/>
    <x v="385"/>
    <x v="386"/>
    <x v="386"/>
    <x v="1"/>
    <x v="1"/>
    <x v="1"/>
    <x v="386"/>
    <x v="1"/>
  </r>
  <r>
    <x v="19"/>
    <x v="1"/>
    <x v="1"/>
    <x v="5"/>
    <x v="0"/>
    <x v="386"/>
    <x v="387"/>
    <x v="387"/>
    <x v="1"/>
    <x v="1"/>
    <x v="1"/>
    <x v="387"/>
    <x v="1"/>
  </r>
  <r>
    <x v="136"/>
    <x v="3"/>
    <x v="3"/>
    <x v="5"/>
    <x v="2"/>
    <x v="387"/>
    <x v="388"/>
    <x v="388"/>
    <x v="1"/>
    <x v="1"/>
    <x v="1"/>
    <x v="388"/>
    <x v="1"/>
  </r>
  <r>
    <x v="37"/>
    <x v="3"/>
    <x v="2"/>
    <x v="4"/>
    <x v="8"/>
    <x v="388"/>
    <x v="389"/>
    <x v="389"/>
    <x v="1"/>
    <x v="1"/>
    <x v="1"/>
    <x v="389"/>
    <x v="1"/>
  </r>
  <r>
    <x v="44"/>
    <x v="6"/>
    <x v="3"/>
    <x v="2"/>
    <x v="8"/>
    <x v="389"/>
    <x v="390"/>
    <x v="390"/>
    <x v="1"/>
    <x v="1"/>
    <x v="1"/>
    <x v="390"/>
    <x v="1"/>
  </r>
  <r>
    <x v="45"/>
    <x v="3"/>
    <x v="3"/>
    <x v="7"/>
    <x v="5"/>
    <x v="390"/>
    <x v="391"/>
    <x v="391"/>
    <x v="1"/>
    <x v="1"/>
    <x v="1"/>
    <x v="391"/>
    <x v="1"/>
  </r>
  <r>
    <x v="101"/>
    <x v="0"/>
    <x v="3"/>
    <x v="7"/>
    <x v="7"/>
    <x v="391"/>
    <x v="392"/>
    <x v="392"/>
    <x v="1"/>
    <x v="1"/>
    <x v="1"/>
    <x v="392"/>
    <x v="1"/>
  </r>
  <r>
    <x v="68"/>
    <x v="6"/>
    <x v="3"/>
    <x v="0"/>
    <x v="3"/>
    <x v="392"/>
    <x v="393"/>
    <x v="393"/>
    <x v="1"/>
    <x v="1"/>
    <x v="1"/>
    <x v="393"/>
    <x v="1"/>
  </r>
  <r>
    <x v="135"/>
    <x v="2"/>
    <x v="3"/>
    <x v="5"/>
    <x v="3"/>
    <x v="393"/>
    <x v="394"/>
    <x v="394"/>
    <x v="1"/>
    <x v="1"/>
    <x v="1"/>
    <x v="394"/>
    <x v="1"/>
  </r>
  <r>
    <x v="110"/>
    <x v="0"/>
    <x v="2"/>
    <x v="1"/>
    <x v="5"/>
    <x v="394"/>
    <x v="395"/>
    <x v="395"/>
    <x v="1"/>
    <x v="1"/>
    <x v="1"/>
    <x v="395"/>
    <x v="1"/>
  </r>
  <r>
    <x v="76"/>
    <x v="5"/>
    <x v="3"/>
    <x v="3"/>
    <x v="1"/>
    <x v="395"/>
    <x v="396"/>
    <x v="396"/>
    <x v="1"/>
    <x v="1"/>
    <x v="1"/>
    <x v="396"/>
    <x v="1"/>
  </r>
  <r>
    <x v="161"/>
    <x v="1"/>
    <x v="1"/>
    <x v="3"/>
    <x v="3"/>
    <x v="396"/>
    <x v="397"/>
    <x v="397"/>
    <x v="1"/>
    <x v="1"/>
    <x v="1"/>
    <x v="397"/>
    <x v="1"/>
  </r>
  <r>
    <x v="9"/>
    <x v="1"/>
    <x v="3"/>
    <x v="2"/>
    <x v="8"/>
    <x v="397"/>
    <x v="398"/>
    <x v="398"/>
    <x v="1"/>
    <x v="1"/>
    <x v="1"/>
    <x v="398"/>
    <x v="1"/>
  </r>
  <r>
    <x v="126"/>
    <x v="3"/>
    <x v="2"/>
    <x v="5"/>
    <x v="1"/>
    <x v="398"/>
    <x v="399"/>
    <x v="399"/>
    <x v="1"/>
    <x v="1"/>
    <x v="1"/>
    <x v="399"/>
    <x v="1"/>
  </r>
  <r>
    <x v="156"/>
    <x v="4"/>
    <x v="3"/>
    <x v="5"/>
    <x v="6"/>
    <x v="399"/>
    <x v="400"/>
    <x v="400"/>
    <x v="1"/>
    <x v="1"/>
    <x v="1"/>
    <x v="400"/>
    <x v="1"/>
  </r>
  <r>
    <x v="131"/>
    <x v="3"/>
    <x v="3"/>
    <x v="1"/>
    <x v="9"/>
    <x v="400"/>
    <x v="401"/>
    <x v="401"/>
    <x v="1"/>
    <x v="1"/>
    <x v="1"/>
    <x v="401"/>
    <x v="1"/>
  </r>
  <r>
    <x v="133"/>
    <x v="2"/>
    <x v="3"/>
    <x v="6"/>
    <x v="5"/>
    <x v="401"/>
    <x v="402"/>
    <x v="402"/>
    <x v="1"/>
    <x v="1"/>
    <x v="1"/>
    <x v="402"/>
    <x v="1"/>
  </r>
  <r>
    <x v="65"/>
    <x v="2"/>
    <x v="0"/>
    <x v="7"/>
    <x v="5"/>
    <x v="402"/>
    <x v="403"/>
    <x v="403"/>
    <x v="1"/>
    <x v="1"/>
    <x v="1"/>
    <x v="403"/>
    <x v="1"/>
  </r>
  <r>
    <x v="162"/>
    <x v="2"/>
    <x v="3"/>
    <x v="4"/>
    <x v="7"/>
    <x v="403"/>
    <x v="404"/>
    <x v="404"/>
    <x v="1"/>
    <x v="1"/>
    <x v="1"/>
    <x v="404"/>
    <x v="1"/>
  </r>
  <r>
    <x v="17"/>
    <x v="4"/>
    <x v="2"/>
    <x v="6"/>
    <x v="4"/>
    <x v="404"/>
    <x v="405"/>
    <x v="405"/>
    <x v="1"/>
    <x v="1"/>
    <x v="1"/>
    <x v="405"/>
    <x v="1"/>
  </r>
  <r>
    <x v="109"/>
    <x v="1"/>
    <x v="3"/>
    <x v="6"/>
    <x v="8"/>
    <x v="405"/>
    <x v="406"/>
    <x v="406"/>
    <x v="1"/>
    <x v="1"/>
    <x v="1"/>
    <x v="406"/>
    <x v="1"/>
  </r>
  <r>
    <x v="53"/>
    <x v="5"/>
    <x v="3"/>
    <x v="6"/>
    <x v="9"/>
    <x v="406"/>
    <x v="407"/>
    <x v="407"/>
    <x v="1"/>
    <x v="1"/>
    <x v="1"/>
    <x v="407"/>
    <x v="1"/>
  </r>
  <r>
    <x v="34"/>
    <x v="2"/>
    <x v="2"/>
    <x v="5"/>
    <x v="9"/>
    <x v="407"/>
    <x v="408"/>
    <x v="408"/>
    <x v="1"/>
    <x v="1"/>
    <x v="1"/>
    <x v="408"/>
    <x v="1"/>
  </r>
  <r>
    <x v="117"/>
    <x v="0"/>
    <x v="2"/>
    <x v="4"/>
    <x v="5"/>
    <x v="408"/>
    <x v="409"/>
    <x v="409"/>
    <x v="1"/>
    <x v="1"/>
    <x v="1"/>
    <x v="409"/>
    <x v="1"/>
  </r>
  <r>
    <x v="129"/>
    <x v="3"/>
    <x v="1"/>
    <x v="5"/>
    <x v="4"/>
    <x v="409"/>
    <x v="410"/>
    <x v="410"/>
    <x v="1"/>
    <x v="1"/>
    <x v="1"/>
    <x v="410"/>
    <x v="1"/>
  </r>
  <r>
    <x v="65"/>
    <x v="5"/>
    <x v="3"/>
    <x v="7"/>
    <x v="1"/>
    <x v="410"/>
    <x v="411"/>
    <x v="411"/>
    <x v="1"/>
    <x v="1"/>
    <x v="1"/>
    <x v="411"/>
    <x v="1"/>
  </r>
  <r>
    <x v="73"/>
    <x v="3"/>
    <x v="1"/>
    <x v="7"/>
    <x v="5"/>
    <x v="411"/>
    <x v="412"/>
    <x v="412"/>
    <x v="1"/>
    <x v="1"/>
    <x v="1"/>
    <x v="412"/>
    <x v="1"/>
  </r>
  <r>
    <x v="163"/>
    <x v="5"/>
    <x v="3"/>
    <x v="6"/>
    <x v="4"/>
    <x v="412"/>
    <x v="413"/>
    <x v="413"/>
    <x v="1"/>
    <x v="1"/>
    <x v="1"/>
    <x v="413"/>
    <x v="1"/>
  </r>
  <r>
    <x v="36"/>
    <x v="0"/>
    <x v="1"/>
    <x v="5"/>
    <x v="7"/>
    <x v="413"/>
    <x v="414"/>
    <x v="414"/>
    <x v="1"/>
    <x v="1"/>
    <x v="1"/>
    <x v="414"/>
    <x v="1"/>
  </r>
  <r>
    <x v="164"/>
    <x v="0"/>
    <x v="1"/>
    <x v="1"/>
    <x v="5"/>
    <x v="414"/>
    <x v="415"/>
    <x v="415"/>
    <x v="1"/>
    <x v="1"/>
    <x v="1"/>
    <x v="415"/>
    <x v="1"/>
  </r>
  <r>
    <x v="162"/>
    <x v="0"/>
    <x v="1"/>
    <x v="3"/>
    <x v="4"/>
    <x v="415"/>
    <x v="416"/>
    <x v="416"/>
    <x v="1"/>
    <x v="1"/>
    <x v="1"/>
    <x v="416"/>
    <x v="1"/>
  </r>
  <r>
    <x v="90"/>
    <x v="2"/>
    <x v="2"/>
    <x v="1"/>
    <x v="1"/>
    <x v="416"/>
    <x v="417"/>
    <x v="417"/>
    <x v="1"/>
    <x v="1"/>
    <x v="1"/>
    <x v="417"/>
    <x v="1"/>
  </r>
  <r>
    <x v="80"/>
    <x v="0"/>
    <x v="3"/>
    <x v="1"/>
    <x v="6"/>
    <x v="417"/>
    <x v="418"/>
    <x v="418"/>
    <x v="1"/>
    <x v="1"/>
    <x v="1"/>
    <x v="418"/>
    <x v="1"/>
  </r>
  <r>
    <x v="63"/>
    <x v="2"/>
    <x v="0"/>
    <x v="1"/>
    <x v="1"/>
    <x v="418"/>
    <x v="419"/>
    <x v="419"/>
    <x v="1"/>
    <x v="1"/>
    <x v="1"/>
    <x v="419"/>
    <x v="1"/>
  </r>
  <r>
    <x v="117"/>
    <x v="5"/>
    <x v="3"/>
    <x v="1"/>
    <x v="1"/>
    <x v="419"/>
    <x v="420"/>
    <x v="420"/>
    <x v="1"/>
    <x v="1"/>
    <x v="1"/>
    <x v="420"/>
    <x v="1"/>
  </r>
  <r>
    <x v="95"/>
    <x v="2"/>
    <x v="3"/>
    <x v="6"/>
    <x v="8"/>
    <x v="420"/>
    <x v="421"/>
    <x v="421"/>
    <x v="1"/>
    <x v="1"/>
    <x v="1"/>
    <x v="421"/>
    <x v="1"/>
  </r>
  <r>
    <x v="5"/>
    <x v="1"/>
    <x v="1"/>
    <x v="7"/>
    <x v="1"/>
    <x v="421"/>
    <x v="422"/>
    <x v="422"/>
    <x v="1"/>
    <x v="1"/>
    <x v="1"/>
    <x v="422"/>
    <x v="1"/>
  </r>
  <r>
    <x v="109"/>
    <x v="3"/>
    <x v="2"/>
    <x v="6"/>
    <x v="2"/>
    <x v="422"/>
    <x v="423"/>
    <x v="423"/>
    <x v="1"/>
    <x v="1"/>
    <x v="1"/>
    <x v="423"/>
    <x v="1"/>
  </r>
  <r>
    <x v="147"/>
    <x v="5"/>
    <x v="2"/>
    <x v="7"/>
    <x v="0"/>
    <x v="423"/>
    <x v="424"/>
    <x v="424"/>
    <x v="1"/>
    <x v="1"/>
    <x v="1"/>
    <x v="424"/>
    <x v="1"/>
  </r>
  <r>
    <x v="13"/>
    <x v="2"/>
    <x v="3"/>
    <x v="7"/>
    <x v="6"/>
    <x v="424"/>
    <x v="425"/>
    <x v="425"/>
    <x v="1"/>
    <x v="1"/>
    <x v="1"/>
    <x v="425"/>
    <x v="1"/>
  </r>
  <r>
    <x v="63"/>
    <x v="3"/>
    <x v="0"/>
    <x v="0"/>
    <x v="6"/>
    <x v="425"/>
    <x v="426"/>
    <x v="426"/>
    <x v="1"/>
    <x v="1"/>
    <x v="1"/>
    <x v="426"/>
    <x v="1"/>
  </r>
  <r>
    <x v="70"/>
    <x v="4"/>
    <x v="1"/>
    <x v="4"/>
    <x v="7"/>
    <x v="426"/>
    <x v="427"/>
    <x v="427"/>
    <x v="1"/>
    <x v="1"/>
    <x v="1"/>
    <x v="427"/>
    <x v="1"/>
  </r>
  <r>
    <x v="56"/>
    <x v="6"/>
    <x v="3"/>
    <x v="4"/>
    <x v="7"/>
    <x v="427"/>
    <x v="428"/>
    <x v="428"/>
    <x v="1"/>
    <x v="1"/>
    <x v="1"/>
    <x v="428"/>
    <x v="1"/>
  </r>
  <r>
    <x v="135"/>
    <x v="4"/>
    <x v="3"/>
    <x v="7"/>
    <x v="5"/>
    <x v="428"/>
    <x v="429"/>
    <x v="429"/>
    <x v="1"/>
    <x v="1"/>
    <x v="1"/>
    <x v="429"/>
    <x v="1"/>
  </r>
  <r>
    <x v="13"/>
    <x v="5"/>
    <x v="0"/>
    <x v="3"/>
    <x v="9"/>
    <x v="429"/>
    <x v="430"/>
    <x v="430"/>
    <x v="1"/>
    <x v="1"/>
    <x v="1"/>
    <x v="430"/>
    <x v="1"/>
  </r>
  <r>
    <x v="102"/>
    <x v="0"/>
    <x v="2"/>
    <x v="5"/>
    <x v="9"/>
    <x v="430"/>
    <x v="431"/>
    <x v="431"/>
    <x v="1"/>
    <x v="1"/>
    <x v="1"/>
    <x v="431"/>
    <x v="1"/>
  </r>
  <r>
    <x v="149"/>
    <x v="6"/>
    <x v="0"/>
    <x v="5"/>
    <x v="8"/>
    <x v="431"/>
    <x v="432"/>
    <x v="432"/>
    <x v="1"/>
    <x v="1"/>
    <x v="1"/>
    <x v="432"/>
    <x v="1"/>
  </r>
  <r>
    <x v="25"/>
    <x v="5"/>
    <x v="1"/>
    <x v="6"/>
    <x v="2"/>
    <x v="432"/>
    <x v="116"/>
    <x v="433"/>
    <x v="1"/>
    <x v="1"/>
    <x v="1"/>
    <x v="433"/>
    <x v="1"/>
  </r>
  <r>
    <x v="165"/>
    <x v="0"/>
    <x v="3"/>
    <x v="6"/>
    <x v="8"/>
    <x v="433"/>
    <x v="433"/>
    <x v="434"/>
    <x v="1"/>
    <x v="1"/>
    <x v="1"/>
    <x v="434"/>
    <x v="1"/>
  </r>
  <r>
    <x v="3"/>
    <x v="6"/>
    <x v="2"/>
    <x v="0"/>
    <x v="1"/>
    <x v="434"/>
    <x v="434"/>
    <x v="435"/>
    <x v="1"/>
    <x v="1"/>
    <x v="1"/>
    <x v="435"/>
    <x v="1"/>
  </r>
  <r>
    <x v="166"/>
    <x v="2"/>
    <x v="2"/>
    <x v="7"/>
    <x v="1"/>
    <x v="435"/>
    <x v="435"/>
    <x v="436"/>
    <x v="1"/>
    <x v="1"/>
    <x v="1"/>
    <x v="436"/>
    <x v="1"/>
  </r>
  <r>
    <x v="2"/>
    <x v="4"/>
    <x v="3"/>
    <x v="5"/>
    <x v="5"/>
    <x v="436"/>
    <x v="436"/>
    <x v="437"/>
    <x v="1"/>
    <x v="1"/>
    <x v="1"/>
    <x v="437"/>
    <x v="1"/>
  </r>
  <r>
    <x v="17"/>
    <x v="3"/>
    <x v="2"/>
    <x v="6"/>
    <x v="7"/>
    <x v="437"/>
    <x v="437"/>
    <x v="438"/>
    <x v="1"/>
    <x v="1"/>
    <x v="1"/>
    <x v="438"/>
    <x v="1"/>
  </r>
  <r>
    <x v="50"/>
    <x v="4"/>
    <x v="2"/>
    <x v="5"/>
    <x v="3"/>
    <x v="438"/>
    <x v="438"/>
    <x v="439"/>
    <x v="1"/>
    <x v="1"/>
    <x v="1"/>
    <x v="439"/>
    <x v="1"/>
  </r>
  <r>
    <x v="23"/>
    <x v="0"/>
    <x v="3"/>
    <x v="3"/>
    <x v="6"/>
    <x v="439"/>
    <x v="439"/>
    <x v="440"/>
    <x v="1"/>
    <x v="1"/>
    <x v="1"/>
    <x v="440"/>
    <x v="1"/>
  </r>
  <r>
    <x v="127"/>
    <x v="1"/>
    <x v="3"/>
    <x v="3"/>
    <x v="0"/>
    <x v="440"/>
    <x v="440"/>
    <x v="441"/>
    <x v="1"/>
    <x v="1"/>
    <x v="1"/>
    <x v="441"/>
    <x v="1"/>
  </r>
  <r>
    <x v="123"/>
    <x v="5"/>
    <x v="1"/>
    <x v="3"/>
    <x v="0"/>
    <x v="441"/>
    <x v="441"/>
    <x v="442"/>
    <x v="1"/>
    <x v="1"/>
    <x v="1"/>
    <x v="442"/>
    <x v="1"/>
  </r>
  <r>
    <x v="2"/>
    <x v="0"/>
    <x v="1"/>
    <x v="0"/>
    <x v="5"/>
    <x v="442"/>
    <x v="442"/>
    <x v="443"/>
    <x v="1"/>
    <x v="1"/>
    <x v="1"/>
    <x v="443"/>
    <x v="1"/>
  </r>
  <r>
    <x v="158"/>
    <x v="5"/>
    <x v="0"/>
    <x v="0"/>
    <x v="3"/>
    <x v="443"/>
    <x v="443"/>
    <x v="444"/>
    <x v="1"/>
    <x v="1"/>
    <x v="1"/>
    <x v="444"/>
    <x v="1"/>
  </r>
  <r>
    <x v="35"/>
    <x v="2"/>
    <x v="2"/>
    <x v="3"/>
    <x v="1"/>
    <x v="444"/>
    <x v="444"/>
    <x v="445"/>
    <x v="1"/>
    <x v="1"/>
    <x v="1"/>
    <x v="445"/>
    <x v="1"/>
  </r>
  <r>
    <x v="35"/>
    <x v="1"/>
    <x v="3"/>
    <x v="2"/>
    <x v="9"/>
    <x v="445"/>
    <x v="445"/>
    <x v="446"/>
    <x v="1"/>
    <x v="1"/>
    <x v="1"/>
    <x v="446"/>
    <x v="1"/>
  </r>
  <r>
    <x v="34"/>
    <x v="4"/>
    <x v="0"/>
    <x v="5"/>
    <x v="1"/>
    <x v="446"/>
    <x v="446"/>
    <x v="447"/>
    <x v="1"/>
    <x v="1"/>
    <x v="1"/>
    <x v="447"/>
    <x v="1"/>
  </r>
  <r>
    <x v="70"/>
    <x v="5"/>
    <x v="1"/>
    <x v="1"/>
    <x v="6"/>
    <x v="447"/>
    <x v="447"/>
    <x v="448"/>
    <x v="1"/>
    <x v="1"/>
    <x v="1"/>
    <x v="448"/>
    <x v="1"/>
  </r>
  <r>
    <x v="43"/>
    <x v="3"/>
    <x v="0"/>
    <x v="5"/>
    <x v="4"/>
    <x v="448"/>
    <x v="448"/>
    <x v="449"/>
    <x v="1"/>
    <x v="1"/>
    <x v="1"/>
    <x v="449"/>
    <x v="1"/>
  </r>
  <r>
    <x v="126"/>
    <x v="4"/>
    <x v="0"/>
    <x v="6"/>
    <x v="1"/>
    <x v="449"/>
    <x v="449"/>
    <x v="450"/>
    <x v="1"/>
    <x v="1"/>
    <x v="1"/>
    <x v="450"/>
    <x v="1"/>
  </r>
  <r>
    <x v="8"/>
    <x v="3"/>
    <x v="3"/>
    <x v="7"/>
    <x v="4"/>
    <x v="450"/>
    <x v="450"/>
    <x v="451"/>
    <x v="1"/>
    <x v="1"/>
    <x v="1"/>
    <x v="451"/>
    <x v="1"/>
  </r>
  <r>
    <x v="109"/>
    <x v="6"/>
    <x v="2"/>
    <x v="2"/>
    <x v="2"/>
    <x v="451"/>
    <x v="451"/>
    <x v="452"/>
    <x v="1"/>
    <x v="1"/>
    <x v="1"/>
    <x v="452"/>
    <x v="1"/>
  </r>
  <r>
    <x v="105"/>
    <x v="1"/>
    <x v="0"/>
    <x v="1"/>
    <x v="6"/>
    <x v="452"/>
    <x v="452"/>
    <x v="453"/>
    <x v="1"/>
    <x v="1"/>
    <x v="1"/>
    <x v="453"/>
    <x v="1"/>
  </r>
  <r>
    <x v="16"/>
    <x v="4"/>
    <x v="0"/>
    <x v="7"/>
    <x v="1"/>
    <x v="453"/>
    <x v="453"/>
    <x v="454"/>
    <x v="1"/>
    <x v="1"/>
    <x v="1"/>
    <x v="454"/>
    <x v="1"/>
  </r>
  <r>
    <x v="162"/>
    <x v="3"/>
    <x v="3"/>
    <x v="7"/>
    <x v="9"/>
    <x v="454"/>
    <x v="454"/>
    <x v="455"/>
    <x v="1"/>
    <x v="1"/>
    <x v="1"/>
    <x v="455"/>
    <x v="1"/>
  </r>
  <r>
    <x v="44"/>
    <x v="5"/>
    <x v="0"/>
    <x v="4"/>
    <x v="6"/>
    <x v="455"/>
    <x v="455"/>
    <x v="456"/>
    <x v="1"/>
    <x v="1"/>
    <x v="1"/>
    <x v="456"/>
    <x v="1"/>
  </r>
  <r>
    <x v="12"/>
    <x v="1"/>
    <x v="3"/>
    <x v="1"/>
    <x v="1"/>
    <x v="456"/>
    <x v="456"/>
    <x v="457"/>
    <x v="1"/>
    <x v="1"/>
    <x v="1"/>
    <x v="457"/>
    <x v="1"/>
  </r>
  <r>
    <x v="111"/>
    <x v="4"/>
    <x v="2"/>
    <x v="3"/>
    <x v="9"/>
    <x v="457"/>
    <x v="457"/>
    <x v="458"/>
    <x v="1"/>
    <x v="1"/>
    <x v="1"/>
    <x v="458"/>
    <x v="1"/>
  </r>
  <r>
    <x v="116"/>
    <x v="0"/>
    <x v="1"/>
    <x v="1"/>
    <x v="3"/>
    <x v="458"/>
    <x v="458"/>
    <x v="459"/>
    <x v="1"/>
    <x v="1"/>
    <x v="1"/>
    <x v="459"/>
    <x v="1"/>
  </r>
  <r>
    <x v="167"/>
    <x v="0"/>
    <x v="0"/>
    <x v="5"/>
    <x v="1"/>
    <x v="459"/>
    <x v="459"/>
    <x v="460"/>
    <x v="1"/>
    <x v="1"/>
    <x v="1"/>
    <x v="460"/>
    <x v="1"/>
  </r>
  <r>
    <x v="116"/>
    <x v="5"/>
    <x v="1"/>
    <x v="1"/>
    <x v="9"/>
    <x v="460"/>
    <x v="460"/>
    <x v="461"/>
    <x v="1"/>
    <x v="1"/>
    <x v="1"/>
    <x v="461"/>
    <x v="1"/>
  </r>
  <r>
    <x v="115"/>
    <x v="0"/>
    <x v="2"/>
    <x v="3"/>
    <x v="3"/>
    <x v="461"/>
    <x v="461"/>
    <x v="462"/>
    <x v="1"/>
    <x v="1"/>
    <x v="1"/>
    <x v="462"/>
    <x v="1"/>
  </r>
  <r>
    <x v="35"/>
    <x v="4"/>
    <x v="2"/>
    <x v="3"/>
    <x v="4"/>
    <x v="462"/>
    <x v="462"/>
    <x v="463"/>
    <x v="1"/>
    <x v="1"/>
    <x v="1"/>
    <x v="463"/>
    <x v="1"/>
  </r>
  <r>
    <x v="8"/>
    <x v="3"/>
    <x v="1"/>
    <x v="2"/>
    <x v="5"/>
    <x v="463"/>
    <x v="463"/>
    <x v="464"/>
    <x v="1"/>
    <x v="1"/>
    <x v="1"/>
    <x v="464"/>
    <x v="1"/>
  </r>
  <r>
    <x v="144"/>
    <x v="2"/>
    <x v="3"/>
    <x v="5"/>
    <x v="4"/>
    <x v="464"/>
    <x v="464"/>
    <x v="465"/>
    <x v="1"/>
    <x v="1"/>
    <x v="1"/>
    <x v="465"/>
    <x v="1"/>
  </r>
  <r>
    <x v="69"/>
    <x v="3"/>
    <x v="2"/>
    <x v="2"/>
    <x v="8"/>
    <x v="465"/>
    <x v="465"/>
    <x v="466"/>
    <x v="1"/>
    <x v="1"/>
    <x v="1"/>
    <x v="466"/>
    <x v="1"/>
  </r>
  <r>
    <x v="87"/>
    <x v="3"/>
    <x v="3"/>
    <x v="6"/>
    <x v="6"/>
    <x v="466"/>
    <x v="466"/>
    <x v="467"/>
    <x v="1"/>
    <x v="1"/>
    <x v="1"/>
    <x v="467"/>
    <x v="1"/>
  </r>
  <r>
    <x v="14"/>
    <x v="4"/>
    <x v="1"/>
    <x v="3"/>
    <x v="7"/>
    <x v="467"/>
    <x v="467"/>
    <x v="468"/>
    <x v="1"/>
    <x v="1"/>
    <x v="1"/>
    <x v="468"/>
    <x v="1"/>
  </r>
  <r>
    <x v="114"/>
    <x v="1"/>
    <x v="0"/>
    <x v="7"/>
    <x v="1"/>
    <x v="468"/>
    <x v="468"/>
    <x v="469"/>
    <x v="1"/>
    <x v="1"/>
    <x v="1"/>
    <x v="469"/>
    <x v="1"/>
  </r>
  <r>
    <x v="152"/>
    <x v="4"/>
    <x v="3"/>
    <x v="4"/>
    <x v="3"/>
    <x v="469"/>
    <x v="469"/>
    <x v="470"/>
    <x v="1"/>
    <x v="1"/>
    <x v="1"/>
    <x v="470"/>
    <x v="1"/>
  </r>
  <r>
    <x v="168"/>
    <x v="2"/>
    <x v="0"/>
    <x v="3"/>
    <x v="9"/>
    <x v="470"/>
    <x v="441"/>
    <x v="471"/>
    <x v="1"/>
    <x v="1"/>
    <x v="1"/>
    <x v="471"/>
    <x v="1"/>
  </r>
  <r>
    <x v="153"/>
    <x v="0"/>
    <x v="3"/>
    <x v="3"/>
    <x v="1"/>
    <x v="471"/>
    <x v="470"/>
    <x v="472"/>
    <x v="1"/>
    <x v="1"/>
    <x v="1"/>
    <x v="472"/>
    <x v="1"/>
  </r>
  <r>
    <x v="19"/>
    <x v="1"/>
    <x v="3"/>
    <x v="6"/>
    <x v="8"/>
    <x v="472"/>
    <x v="471"/>
    <x v="473"/>
    <x v="1"/>
    <x v="1"/>
    <x v="1"/>
    <x v="473"/>
    <x v="1"/>
  </r>
  <r>
    <x v="99"/>
    <x v="5"/>
    <x v="2"/>
    <x v="1"/>
    <x v="2"/>
    <x v="473"/>
    <x v="472"/>
    <x v="474"/>
    <x v="1"/>
    <x v="1"/>
    <x v="1"/>
    <x v="474"/>
    <x v="1"/>
  </r>
  <r>
    <x v="106"/>
    <x v="2"/>
    <x v="2"/>
    <x v="7"/>
    <x v="3"/>
    <x v="474"/>
    <x v="473"/>
    <x v="475"/>
    <x v="1"/>
    <x v="1"/>
    <x v="1"/>
    <x v="475"/>
    <x v="1"/>
  </r>
  <r>
    <x v="160"/>
    <x v="6"/>
    <x v="0"/>
    <x v="4"/>
    <x v="0"/>
    <x v="475"/>
    <x v="474"/>
    <x v="476"/>
    <x v="1"/>
    <x v="1"/>
    <x v="1"/>
    <x v="476"/>
    <x v="1"/>
  </r>
  <r>
    <x v="82"/>
    <x v="1"/>
    <x v="1"/>
    <x v="4"/>
    <x v="6"/>
    <x v="476"/>
    <x v="475"/>
    <x v="477"/>
    <x v="1"/>
    <x v="1"/>
    <x v="1"/>
    <x v="477"/>
    <x v="1"/>
  </r>
  <r>
    <x v="141"/>
    <x v="4"/>
    <x v="1"/>
    <x v="7"/>
    <x v="7"/>
    <x v="477"/>
    <x v="476"/>
    <x v="478"/>
    <x v="1"/>
    <x v="1"/>
    <x v="1"/>
    <x v="478"/>
    <x v="1"/>
  </r>
  <r>
    <x v="101"/>
    <x v="2"/>
    <x v="2"/>
    <x v="1"/>
    <x v="9"/>
    <x v="478"/>
    <x v="477"/>
    <x v="479"/>
    <x v="1"/>
    <x v="1"/>
    <x v="1"/>
    <x v="479"/>
    <x v="1"/>
  </r>
  <r>
    <x v="42"/>
    <x v="4"/>
    <x v="2"/>
    <x v="2"/>
    <x v="8"/>
    <x v="479"/>
    <x v="478"/>
    <x v="480"/>
    <x v="1"/>
    <x v="1"/>
    <x v="1"/>
    <x v="480"/>
    <x v="1"/>
  </r>
  <r>
    <x v="99"/>
    <x v="3"/>
    <x v="0"/>
    <x v="7"/>
    <x v="6"/>
    <x v="480"/>
    <x v="479"/>
    <x v="481"/>
    <x v="1"/>
    <x v="1"/>
    <x v="1"/>
    <x v="481"/>
    <x v="1"/>
  </r>
  <r>
    <x v="125"/>
    <x v="6"/>
    <x v="0"/>
    <x v="4"/>
    <x v="6"/>
    <x v="481"/>
    <x v="480"/>
    <x v="482"/>
    <x v="1"/>
    <x v="1"/>
    <x v="1"/>
    <x v="482"/>
    <x v="1"/>
  </r>
  <r>
    <x v="160"/>
    <x v="2"/>
    <x v="3"/>
    <x v="0"/>
    <x v="9"/>
    <x v="482"/>
    <x v="481"/>
    <x v="483"/>
    <x v="1"/>
    <x v="1"/>
    <x v="1"/>
    <x v="483"/>
    <x v="1"/>
  </r>
  <r>
    <x v="11"/>
    <x v="3"/>
    <x v="3"/>
    <x v="7"/>
    <x v="2"/>
    <x v="483"/>
    <x v="482"/>
    <x v="484"/>
    <x v="1"/>
    <x v="1"/>
    <x v="1"/>
    <x v="484"/>
    <x v="1"/>
  </r>
  <r>
    <x v="80"/>
    <x v="3"/>
    <x v="0"/>
    <x v="1"/>
    <x v="4"/>
    <x v="484"/>
    <x v="483"/>
    <x v="485"/>
    <x v="1"/>
    <x v="1"/>
    <x v="1"/>
    <x v="485"/>
    <x v="1"/>
  </r>
  <r>
    <x v="9"/>
    <x v="0"/>
    <x v="1"/>
    <x v="3"/>
    <x v="2"/>
    <x v="485"/>
    <x v="484"/>
    <x v="486"/>
    <x v="1"/>
    <x v="1"/>
    <x v="1"/>
    <x v="486"/>
    <x v="1"/>
  </r>
  <r>
    <x v="6"/>
    <x v="4"/>
    <x v="3"/>
    <x v="1"/>
    <x v="6"/>
    <x v="486"/>
    <x v="485"/>
    <x v="487"/>
    <x v="1"/>
    <x v="1"/>
    <x v="1"/>
    <x v="487"/>
    <x v="1"/>
  </r>
  <r>
    <x v="79"/>
    <x v="2"/>
    <x v="3"/>
    <x v="7"/>
    <x v="8"/>
    <x v="487"/>
    <x v="486"/>
    <x v="488"/>
    <x v="1"/>
    <x v="1"/>
    <x v="1"/>
    <x v="488"/>
    <x v="1"/>
  </r>
  <r>
    <x v="36"/>
    <x v="1"/>
    <x v="3"/>
    <x v="0"/>
    <x v="9"/>
    <x v="488"/>
    <x v="487"/>
    <x v="489"/>
    <x v="1"/>
    <x v="1"/>
    <x v="1"/>
    <x v="489"/>
    <x v="1"/>
  </r>
  <r>
    <x v="18"/>
    <x v="4"/>
    <x v="0"/>
    <x v="3"/>
    <x v="2"/>
    <x v="489"/>
    <x v="488"/>
    <x v="490"/>
    <x v="1"/>
    <x v="1"/>
    <x v="1"/>
    <x v="490"/>
    <x v="1"/>
  </r>
  <r>
    <x v="169"/>
    <x v="1"/>
    <x v="3"/>
    <x v="6"/>
    <x v="4"/>
    <x v="490"/>
    <x v="489"/>
    <x v="491"/>
    <x v="1"/>
    <x v="1"/>
    <x v="1"/>
    <x v="491"/>
    <x v="1"/>
  </r>
  <r>
    <x v="163"/>
    <x v="5"/>
    <x v="0"/>
    <x v="1"/>
    <x v="3"/>
    <x v="491"/>
    <x v="490"/>
    <x v="492"/>
    <x v="1"/>
    <x v="1"/>
    <x v="1"/>
    <x v="492"/>
    <x v="1"/>
  </r>
  <r>
    <x v="150"/>
    <x v="6"/>
    <x v="0"/>
    <x v="3"/>
    <x v="2"/>
    <x v="492"/>
    <x v="491"/>
    <x v="493"/>
    <x v="1"/>
    <x v="1"/>
    <x v="1"/>
    <x v="493"/>
    <x v="1"/>
  </r>
  <r>
    <x v="46"/>
    <x v="4"/>
    <x v="3"/>
    <x v="3"/>
    <x v="3"/>
    <x v="491"/>
    <x v="490"/>
    <x v="494"/>
    <x v="1"/>
    <x v="1"/>
    <x v="1"/>
    <x v="494"/>
    <x v="1"/>
  </r>
  <r>
    <x v="123"/>
    <x v="2"/>
    <x v="1"/>
    <x v="7"/>
    <x v="0"/>
    <x v="493"/>
    <x v="492"/>
    <x v="495"/>
    <x v="1"/>
    <x v="1"/>
    <x v="1"/>
    <x v="495"/>
    <x v="1"/>
  </r>
  <r>
    <x v="70"/>
    <x v="1"/>
    <x v="2"/>
    <x v="0"/>
    <x v="4"/>
    <x v="494"/>
    <x v="493"/>
    <x v="496"/>
    <x v="1"/>
    <x v="1"/>
    <x v="1"/>
    <x v="496"/>
    <x v="1"/>
  </r>
  <r>
    <x v="90"/>
    <x v="6"/>
    <x v="1"/>
    <x v="4"/>
    <x v="7"/>
    <x v="495"/>
    <x v="494"/>
    <x v="497"/>
    <x v="1"/>
    <x v="1"/>
    <x v="1"/>
    <x v="497"/>
    <x v="1"/>
  </r>
  <r>
    <x v="112"/>
    <x v="3"/>
    <x v="3"/>
    <x v="7"/>
    <x v="6"/>
    <x v="496"/>
    <x v="495"/>
    <x v="498"/>
    <x v="1"/>
    <x v="1"/>
    <x v="1"/>
    <x v="498"/>
    <x v="1"/>
  </r>
  <r>
    <x v="15"/>
    <x v="3"/>
    <x v="1"/>
    <x v="7"/>
    <x v="9"/>
    <x v="497"/>
    <x v="496"/>
    <x v="499"/>
    <x v="1"/>
    <x v="1"/>
    <x v="1"/>
    <x v="499"/>
    <x v="1"/>
  </r>
  <r>
    <x v="83"/>
    <x v="0"/>
    <x v="0"/>
    <x v="1"/>
    <x v="4"/>
    <x v="498"/>
    <x v="497"/>
    <x v="500"/>
    <x v="1"/>
    <x v="1"/>
    <x v="1"/>
    <x v="500"/>
    <x v="1"/>
  </r>
  <r>
    <x v="12"/>
    <x v="3"/>
    <x v="1"/>
    <x v="1"/>
    <x v="5"/>
    <x v="499"/>
    <x v="498"/>
    <x v="501"/>
    <x v="1"/>
    <x v="1"/>
    <x v="1"/>
    <x v="501"/>
    <x v="1"/>
  </r>
  <r>
    <x v="7"/>
    <x v="1"/>
    <x v="3"/>
    <x v="6"/>
    <x v="8"/>
    <x v="500"/>
    <x v="499"/>
    <x v="502"/>
    <x v="1"/>
    <x v="1"/>
    <x v="1"/>
    <x v="502"/>
    <x v="1"/>
  </r>
  <r>
    <x v="23"/>
    <x v="4"/>
    <x v="1"/>
    <x v="0"/>
    <x v="4"/>
    <x v="501"/>
    <x v="500"/>
    <x v="503"/>
    <x v="1"/>
    <x v="1"/>
    <x v="1"/>
    <x v="503"/>
    <x v="1"/>
  </r>
  <r>
    <x v="98"/>
    <x v="3"/>
    <x v="1"/>
    <x v="7"/>
    <x v="2"/>
    <x v="502"/>
    <x v="501"/>
    <x v="504"/>
    <x v="1"/>
    <x v="1"/>
    <x v="1"/>
    <x v="504"/>
    <x v="1"/>
  </r>
  <r>
    <x v="170"/>
    <x v="5"/>
    <x v="2"/>
    <x v="4"/>
    <x v="7"/>
    <x v="503"/>
    <x v="502"/>
    <x v="505"/>
    <x v="1"/>
    <x v="1"/>
    <x v="1"/>
    <x v="505"/>
    <x v="1"/>
  </r>
  <r>
    <x v="164"/>
    <x v="1"/>
    <x v="2"/>
    <x v="0"/>
    <x v="3"/>
    <x v="504"/>
    <x v="503"/>
    <x v="506"/>
    <x v="1"/>
    <x v="1"/>
    <x v="1"/>
    <x v="506"/>
    <x v="1"/>
  </r>
  <r>
    <x v="142"/>
    <x v="5"/>
    <x v="2"/>
    <x v="5"/>
    <x v="6"/>
    <x v="505"/>
    <x v="504"/>
    <x v="507"/>
    <x v="1"/>
    <x v="1"/>
    <x v="1"/>
    <x v="507"/>
    <x v="1"/>
  </r>
  <r>
    <x v="112"/>
    <x v="6"/>
    <x v="1"/>
    <x v="0"/>
    <x v="3"/>
    <x v="506"/>
    <x v="505"/>
    <x v="508"/>
    <x v="1"/>
    <x v="1"/>
    <x v="1"/>
    <x v="508"/>
    <x v="1"/>
  </r>
  <r>
    <x v="137"/>
    <x v="0"/>
    <x v="1"/>
    <x v="2"/>
    <x v="0"/>
    <x v="507"/>
    <x v="506"/>
    <x v="509"/>
    <x v="1"/>
    <x v="1"/>
    <x v="1"/>
    <x v="509"/>
    <x v="1"/>
  </r>
  <r>
    <x v="170"/>
    <x v="3"/>
    <x v="2"/>
    <x v="3"/>
    <x v="9"/>
    <x v="508"/>
    <x v="507"/>
    <x v="510"/>
    <x v="1"/>
    <x v="1"/>
    <x v="1"/>
    <x v="510"/>
    <x v="1"/>
  </r>
  <r>
    <x v="43"/>
    <x v="3"/>
    <x v="0"/>
    <x v="2"/>
    <x v="4"/>
    <x v="155"/>
    <x v="508"/>
    <x v="511"/>
    <x v="1"/>
    <x v="1"/>
    <x v="1"/>
    <x v="511"/>
    <x v="1"/>
  </r>
  <r>
    <x v="87"/>
    <x v="5"/>
    <x v="2"/>
    <x v="0"/>
    <x v="7"/>
    <x v="509"/>
    <x v="509"/>
    <x v="75"/>
    <x v="1"/>
    <x v="1"/>
    <x v="1"/>
    <x v="512"/>
    <x v="1"/>
  </r>
  <r>
    <x v="122"/>
    <x v="1"/>
    <x v="3"/>
    <x v="2"/>
    <x v="4"/>
    <x v="510"/>
    <x v="510"/>
    <x v="512"/>
    <x v="1"/>
    <x v="1"/>
    <x v="1"/>
    <x v="513"/>
    <x v="1"/>
  </r>
  <r>
    <x v="87"/>
    <x v="6"/>
    <x v="1"/>
    <x v="3"/>
    <x v="0"/>
    <x v="511"/>
    <x v="511"/>
    <x v="513"/>
    <x v="1"/>
    <x v="1"/>
    <x v="1"/>
    <x v="514"/>
    <x v="1"/>
  </r>
  <r>
    <x v="171"/>
    <x v="1"/>
    <x v="2"/>
    <x v="0"/>
    <x v="4"/>
    <x v="512"/>
    <x v="512"/>
    <x v="514"/>
    <x v="1"/>
    <x v="1"/>
    <x v="1"/>
    <x v="515"/>
    <x v="1"/>
  </r>
  <r>
    <x v="67"/>
    <x v="3"/>
    <x v="2"/>
    <x v="2"/>
    <x v="4"/>
    <x v="513"/>
    <x v="513"/>
    <x v="515"/>
    <x v="1"/>
    <x v="1"/>
    <x v="1"/>
    <x v="516"/>
    <x v="1"/>
  </r>
  <r>
    <x v="61"/>
    <x v="5"/>
    <x v="0"/>
    <x v="5"/>
    <x v="2"/>
    <x v="514"/>
    <x v="514"/>
    <x v="516"/>
    <x v="1"/>
    <x v="1"/>
    <x v="1"/>
    <x v="517"/>
    <x v="1"/>
  </r>
  <r>
    <x v="47"/>
    <x v="5"/>
    <x v="2"/>
    <x v="1"/>
    <x v="5"/>
    <x v="515"/>
    <x v="515"/>
    <x v="517"/>
    <x v="1"/>
    <x v="1"/>
    <x v="1"/>
    <x v="518"/>
    <x v="1"/>
  </r>
  <r>
    <x v="73"/>
    <x v="3"/>
    <x v="3"/>
    <x v="0"/>
    <x v="9"/>
    <x v="516"/>
    <x v="516"/>
    <x v="518"/>
    <x v="1"/>
    <x v="1"/>
    <x v="1"/>
    <x v="519"/>
    <x v="1"/>
  </r>
  <r>
    <x v="13"/>
    <x v="5"/>
    <x v="3"/>
    <x v="0"/>
    <x v="7"/>
    <x v="517"/>
    <x v="517"/>
    <x v="519"/>
    <x v="1"/>
    <x v="1"/>
    <x v="1"/>
    <x v="520"/>
    <x v="1"/>
  </r>
  <r>
    <x v="103"/>
    <x v="1"/>
    <x v="3"/>
    <x v="7"/>
    <x v="2"/>
    <x v="518"/>
    <x v="518"/>
    <x v="520"/>
    <x v="1"/>
    <x v="1"/>
    <x v="1"/>
    <x v="521"/>
    <x v="1"/>
  </r>
  <r>
    <x v="24"/>
    <x v="3"/>
    <x v="0"/>
    <x v="0"/>
    <x v="6"/>
    <x v="519"/>
    <x v="519"/>
    <x v="521"/>
    <x v="1"/>
    <x v="1"/>
    <x v="1"/>
    <x v="522"/>
    <x v="1"/>
  </r>
  <r>
    <x v="16"/>
    <x v="5"/>
    <x v="3"/>
    <x v="4"/>
    <x v="8"/>
    <x v="520"/>
    <x v="520"/>
    <x v="522"/>
    <x v="1"/>
    <x v="1"/>
    <x v="1"/>
    <x v="523"/>
    <x v="1"/>
  </r>
  <r>
    <x v="172"/>
    <x v="2"/>
    <x v="2"/>
    <x v="4"/>
    <x v="2"/>
    <x v="521"/>
    <x v="521"/>
    <x v="523"/>
    <x v="1"/>
    <x v="1"/>
    <x v="1"/>
    <x v="524"/>
    <x v="1"/>
  </r>
  <r>
    <x v="35"/>
    <x v="3"/>
    <x v="3"/>
    <x v="3"/>
    <x v="3"/>
    <x v="522"/>
    <x v="522"/>
    <x v="524"/>
    <x v="1"/>
    <x v="1"/>
    <x v="1"/>
    <x v="525"/>
    <x v="1"/>
  </r>
  <r>
    <x v="32"/>
    <x v="4"/>
    <x v="3"/>
    <x v="3"/>
    <x v="0"/>
    <x v="523"/>
    <x v="523"/>
    <x v="525"/>
    <x v="1"/>
    <x v="1"/>
    <x v="1"/>
    <x v="526"/>
    <x v="1"/>
  </r>
  <r>
    <x v="62"/>
    <x v="3"/>
    <x v="0"/>
    <x v="5"/>
    <x v="6"/>
    <x v="524"/>
    <x v="524"/>
    <x v="526"/>
    <x v="1"/>
    <x v="1"/>
    <x v="1"/>
    <x v="527"/>
    <x v="1"/>
  </r>
  <r>
    <x v="40"/>
    <x v="5"/>
    <x v="0"/>
    <x v="6"/>
    <x v="0"/>
    <x v="525"/>
    <x v="525"/>
    <x v="527"/>
    <x v="1"/>
    <x v="1"/>
    <x v="1"/>
    <x v="528"/>
    <x v="1"/>
  </r>
  <r>
    <x v="117"/>
    <x v="2"/>
    <x v="2"/>
    <x v="0"/>
    <x v="8"/>
    <x v="526"/>
    <x v="526"/>
    <x v="528"/>
    <x v="1"/>
    <x v="1"/>
    <x v="1"/>
    <x v="529"/>
    <x v="1"/>
  </r>
  <r>
    <x v="108"/>
    <x v="2"/>
    <x v="3"/>
    <x v="4"/>
    <x v="6"/>
    <x v="527"/>
    <x v="527"/>
    <x v="529"/>
    <x v="1"/>
    <x v="1"/>
    <x v="1"/>
    <x v="530"/>
    <x v="1"/>
  </r>
  <r>
    <x v="15"/>
    <x v="1"/>
    <x v="1"/>
    <x v="6"/>
    <x v="1"/>
    <x v="528"/>
    <x v="528"/>
    <x v="530"/>
    <x v="1"/>
    <x v="1"/>
    <x v="1"/>
    <x v="531"/>
    <x v="1"/>
  </r>
  <r>
    <x v="81"/>
    <x v="0"/>
    <x v="0"/>
    <x v="1"/>
    <x v="7"/>
    <x v="529"/>
    <x v="529"/>
    <x v="531"/>
    <x v="1"/>
    <x v="1"/>
    <x v="1"/>
    <x v="532"/>
    <x v="1"/>
  </r>
  <r>
    <x v="150"/>
    <x v="2"/>
    <x v="2"/>
    <x v="1"/>
    <x v="4"/>
    <x v="530"/>
    <x v="530"/>
    <x v="532"/>
    <x v="1"/>
    <x v="1"/>
    <x v="1"/>
    <x v="533"/>
    <x v="1"/>
  </r>
  <r>
    <x v="172"/>
    <x v="5"/>
    <x v="3"/>
    <x v="7"/>
    <x v="4"/>
    <x v="531"/>
    <x v="531"/>
    <x v="533"/>
    <x v="1"/>
    <x v="1"/>
    <x v="1"/>
    <x v="534"/>
    <x v="1"/>
  </r>
  <r>
    <x v="82"/>
    <x v="0"/>
    <x v="1"/>
    <x v="6"/>
    <x v="9"/>
    <x v="532"/>
    <x v="532"/>
    <x v="534"/>
    <x v="1"/>
    <x v="1"/>
    <x v="1"/>
    <x v="535"/>
    <x v="1"/>
  </r>
  <r>
    <x v="19"/>
    <x v="4"/>
    <x v="0"/>
    <x v="5"/>
    <x v="9"/>
    <x v="533"/>
    <x v="533"/>
    <x v="535"/>
    <x v="1"/>
    <x v="1"/>
    <x v="1"/>
    <x v="536"/>
    <x v="1"/>
  </r>
  <r>
    <x v="45"/>
    <x v="2"/>
    <x v="0"/>
    <x v="6"/>
    <x v="6"/>
    <x v="534"/>
    <x v="534"/>
    <x v="536"/>
    <x v="1"/>
    <x v="1"/>
    <x v="1"/>
    <x v="537"/>
    <x v="1"/>
  </r>
  <r>
    <x v="129"/>
    <x v="5"/>
    <x v="0"/>
    <x v="7"/>
    <x v="7"/>
    <x v="535"/>
    <x v="535"/>
    <x v="537"/>
    <x v="1"/>
    <x v="1"/>
    <x v="1"/>
    <x v="538"/>
    <x v="1"/>
  </r>
  <r>
    <x v="51"/>
    <x v="2"/>
    <x v="3"/>
    <x v="3"/>
    <x v="4"/>
    <x v="536"/>
    <x v="536"/>
    <x v="538"/>
    <x v="1"/>
    <x v="1"/>
    <x v="1"/>
    <x v="539"/>
    <x v="1"/>
  </r>
  <r>
    <x v="134"/>
    <x v="3"/>
    <x v="3"/>
    <x v="5"/>
    <x v="6"/>
    <x v="537"/>
    <x v="537"/>
    <x v="539"/>
    <x v="1"/>
    <x v="1"/>
    <x v="1"/>
    <x v="540"/>
    <x v="1"/>
  </r>
  <r>
    <x v="89"/>
    <x v="3"/>
    <x v="2"/>
    <x v="2"/>
    <x v="8"/>
    <x v="538"/>
    <x v="538"/>
    <x v="540"/>
    <x v="1"/>
    <x v="1"/>
    <x v="1"/>
    <x v="541"/>
    <x v="1"/>
  </r>
  <r>
    <x v="145"/>
    <x v="1"/>
    <x v="3"/>
    <x v="0"/>
    <x v="7"/>
    <x v="539"/>
    <x v="539"/>
    <x v="541"/>
    <x v="1"/>
    <x v="1"/>
    <x v="1"/>
    <x v="542"/>
    <x v="1"/>
  </r>
  <r>
    <x v="5"/>
    <x v="5"/>
    <x v="2"/>
    <x v="4"/>
    <x v="6"/>
    <x v="540"/>
    <x v="540"/>
    <x v="542"/>
    <x v="1"/>
    <x v="1"/>
    <x v="1"/>
    <x v="543"/>
    <x v="1"/>
  </r>
  <r>
    <x v="13"/>
    <x v="4"/>
    <x v="2"/>
    <x v="7"/>
    <x v="7"/>
    <x v="368"/>
    <x v="541"/>
    <x v="543"/>
    <x v="1"/>
    <x v="1"/>
    <x v="1"/>
    <x v="544"/>
    <x v="1"/>
  </r>
  <r>
    <x v="113"/>
    <x v="3"/>
    <x v="0"/>
    <x v="6"/>
    <x v="0"/>
    <x v="541"/>
    <x v="542"/>
    <x v="544"/>
    <x v="1"/>
    <x v="1"/>
    <x v="1"/>
    <x v="545"/>
    <x v="1"/>
  </r>
  <r>
    <x v="123"/>
    <x v="4"/>
    <x v="1"/>
    <x v="2"/>
    <x v="4"/>
    <x v="542"/>
    <x v="543"/>
    <x v="545"/>
    <x v="1"/>
    <x v="1"/>
    <x v="1"/>
    <x v="546"/>
    <x v="1"/>
  </r>
  <r>
    <x v="165"/>
    <x v="2"/>
    <x v="1"/>
    <x v="7"/>
    <x v="1"/>
    <x v="543"/>
    <x v="544"/>
    <x v="546"/>
    <x v="1"/>
    <x v="1"/>
    <x v="1"/>
    <x v="547"/>
    <x v="1"/>
  </r>
  <r>
    <x v="68"/>
    <x v="2"/>
    <x v="3"/>
    <x v="0"/>
    <x v="9"/>
    <x v="544"/>
    <x v="545"/>
    <x v="547"/>
    <x v="1"/>
    <x v="1"/>
    <x v="1"/>
    <x v="548"/>
    <x v="1"/>
  </r>
  <r>
    <x v="61"/>
    <x v="1"/>
    <x v="3"/>
    <x v="2"/>
    <x v="8"/>
    <x v="545"/>
    <x v="546"/>
    <x v="548"/>
    <x v="1"/>
    <x v="1"/>
    <x v="1"/>
    <x v="549"/>
    <x v="1"/>
  </r>
  <r>
    <x v="141"/>
    <x v="5"/>
    <x v="0"/>
    <x v="3"/>
    <x v="0"/>
    <x v="546"/>
    <x v="547"/>
    <x v="549"/>
    <x v="1"/>
    <x v="1"/>
    <x v="1"/>
    <x v="550"/>
    <x v="1"/>
  </r>
  <r>
    <x v="19"/>
    <x v="2"/>
    <x v="0"/>
    <x v="2"/>
    <x v="7"/>
    <x v="547"/>
    <x v="548"/>
    <x v="550"/>
    <x v="1"/>
    <x v="1"/>
    <x v="1"/>
    <x v="551"/>
    <x v="1"/>
  </r>
  <r>
    <x v="172"/>
    <x v="5"/>
    <x v="3"/>
    <x v="3"/>
    <x v="6"/>
    <x v="548"/>
    <x v="549"/>
    <x v="551"/>
    <x v="1"/>
    <x v="1"/>
    <x v="1"/>
    <x v="552"/>
    <x v="1"/>
  </r>
  <r>
    <x v="143"/>
    <x v="4"/>
    <x v="1"/>
    <x v="7"/>
    <x v="9"/>
    <x v="549"/>
    <x v="550"/>
    <x v="552"/>
    <x v="1"/>
    <x v="1"/>
    <x v="1"/>
    <x v="553"/>
    <x v="1"/>
  </r>
  <r>
    <x v="119"/>
    <x v="5"/>
    <x v="0"/>
    <x v="3"/>
    <x v="8"/>
    <x v="550"/>
    <x v="551"/>
    <x v="553"/>
    <x v="1"/>
    <x v="1"/>
    <x v="1"/>
    <x v="554"/>
    <x v="1"/>
  </r>
  <r>
    <x v="118"/>
    <x v="0"/>
    <x v="0"/>
    <x v="0"/>
    <x v="8"/>
    <x v="551"/>
    <x v="552"/>
    <x v="554"/>
    <x v="1"/>
    <x v="1"/>
    <x v="1"/>
    <x v="555"/>
    <x v="1"/>
  </r>
  <r>
    <x v="137"/>
    <x v="1"/>
    <x v="3"/>
    <x v="3"/>
    <x v="5"/>
    <x v="552"/>
    <x v="553"/>
    <x v="555"/>
    <x v="1"/>
    <x v="1"/>
    <x v="1"/>
    <x v="556"/>
    <x v="1"/>
  </r>
  <r>
    <x v="42"/>
    <x v="2"/>
    <x v="3"/>
    <x v="5"/>
    <x v="1"/>
    <x v="553"/>
    <x v="554"/>
    <x v="556"/>
    <x v="1"/>
    <x v="1"/>
    <x v="1"/>
    <x v="557"/>
    <x v="1"/>
  </r>
  <r>
    <x v="97"/>
    <x v="2"/>
    <x v="2"/>
    <x v="7"/>
    <x v="4"/>
    <x v="554"/>
    <x v="555"/>
    <x v="557"/>
    <x v="1"/>
    <x v="1"/>
    <x v="1"/>
    <x v="558"/>
    <x v="1"/>
  </r>
  <r>
    <x v="129"/>
    <x v="6"/>
    <x v="2"/>
    <x v="4"/>
    <x v="5"/>
    <x v="555"/>
    <x v="556"/>
    <x v="558"/>
    <x v="1"/>
    <x v="1"/>
    <x v="1"/>
    <x v="559"/>
    <x v="1"/>
  </r>
  <r>
    <x v="74"/>
    <x v="4"/>
    <x v="0"/>
    <x v="0"/>
    <x v="5"/>
    <x v="556"/>
    <x v="557"/>
    <x v="559"/>
    <x v="1"/>
    <x v="1"/>
    <x v="1"/>
    <x v="560"/>
    <x v="1"/>
  </r>
  <r>
    <x v="147"/>
    <x v="3"/>
    <x v="0"/>
    <x v="3"/>
    <x v="5"/>
    <x v="557"/>
    <x v="558"/>
    <x v="560"/>
    <x v="1"/>
    <x v="1"/>
    <x v="1"/>
    <x v="561"/>
    <x v="1"/>
  </r>
  <r>
    <x v="116"/>
    <x v="4"/>
    <x v="1"/>
    <x v="6"/>
    <x v="6"/>
    <x v="558"/>
    <x v="559"/>
    <x v="561"/>
    <x v="1"/>
    <x v="1"/>
    <x v="1"/>
    <x v="562"/>
    <x v="1"/>
  </r>
  <r>
    <x v="173"/>
    <x v="4"/>
    <x v="0"/>
    <x v="2"/>
    <x v="5"/>
    <x v="559"/>
    <x v="560"/>
    <x v="562"/>
    <x v="1"/>
    <x v="1"/>
    <x v="1"/>
    <x v="563"/>
    <x v="1"/>
  </r>
  <r>
    <x v="70"/>
    <x v="6"/>
    <x v="1"/>
    <x v="2"/>
    <x v="1"/>
    <x v="560"/>
    <x v="561"/>
    <x v="563"/>
    <x v="1"/>
    <x v="1"/>
    <x v="1"/>
    <x v="564"/>
    <x v="1"/>
  </r>
  <r>
    <x v="123"/>
    <x v="4"/>
    <x v="0"/>
    <x v="6"/>
    <x v="5"/>
    <x v="561"/>
    <x v="562"/>
    <x v="564"/>
    <x v="1"/>
    <x v="1"/>
    <x v="1"/>
    <x v="565"/>
    <x v="1"/>
  </r>
  <r>
    <x v="44"/>
    <x v="1"/>
    <x v="0"/>
    <x v="3"/>
    <x v="0"/>
    <x v="562"/>
    <x v="563"/>
    <x v="565"/>
    <x v="1"/>
    <x v="1"/>
    <x v="1"/>
    <x v="566"/>
    <x v="1"/>
  </r>
  <r>
    <x v="87"/>
    <x v="4"/>
    <x v="0"/>
    <x v="6"/>
    <x v="9"/>
    <x v="563"/>
    <x v="564"/>
    <x v="566"/>
    <x v="1"/>
    <x v="1"/>
    <x v="1"/>
    <x v="567"/>
    <x v="1"/>
  </r>
  <r>
    <x v="72"/>
    <x v="6"/>
    <x v="0"/>
    <x v="5"/>
    <x v="0"/>
    <x v="564"/>
    <x v="565"/>
    <x v="567"/>
    <x v="1"/>
    <x v="1"/>
    <x v="1"/>
    <x v="568"/>
    <x v="1"/>
  </r>
  <r>
    <x v="14"/>
    <x v="6"/>
    <x v="1"/>
    <x v="7"/>
    <x v="4"/>
    <x v="565"/>
    <x v="566"/>
    <x v="568"/>
    <x v="1"/>
    <x v="1"/>
    <x v="1"/>
    <x v="569"/>
    <x v="1"/>
  </r>
  <r>
    <x v="54"/>
    <x v="1"/>
    <x v="1"/>
    <x v="6"/>
    <x v="8"/>
    <x v="566"/>
    <x v="567"/>
    <x v="569"/>
    <x v="1"/>
    <x v="1"/>
    <x v="1"/>
    <x v="570"/>
    <x v="1"/>
  </r>
  <r>
    <x v="98"/>
    <x v="4"/>
    <x v="2"/>
    <x v="5"/>
    <x v="0"/>
    <x v="567"/>
    <x v="568"/>
    <x v="570"/>
    <x v="1"/>
    <x v="1"/>
    <x v="1"/>
    <x v="571"/>
    <x v="1"/>
  </r>
  <r>
    <x v="82"/>
    <x v="1"/>
    <x v="3"/>
    <x v="0"/>
    <x v="9"/>
    <x v="568"/>
    <x v="569"/>
    <x v="571"/>
    <x v="1"/>
    <x v="1"/>
    <x v="1"/>
    <x v="572"/>
    <x v="1"/>
  </r>
  <r>
    <x v="79"/>
    <x v="2"/>
    <x v="3"/>
    <x v="1"/>
    <x v="6"/>
    <x v="569"/>
    <x v="570"/>
    <x v="572"/>
    <x v="1"/>
    <x v="1"/>
    <x v="1"/>
    <x v="573"/>
    <x v="1"/>
  </r>
  <r>
    <x v="170"/>
    <x v="0"/>
    <x v="0"/>
    <x v="5"/>
    <x v="9"/>
    <x v="570"/>
    <x v="571"/>
    <x v="573"/>
    <x v="1"/>
    <x v="1"/>
    <x v="1"/>
    <x v="574"/>
    <x v="1"/>
  </r>
  <r>
    <x v="106"/>
    <x v="6"/>
    <x v="1"/>
    <x v="2"/>
    <x v="7"/>
    <x v="571"/>
    <x v="572"/>
    <x v="574"/>
    <x v="1"/>
    <x v="1"/>
    <x v="1"/>
    <x v="575"/>
    <x v="1"/>
  </r>
  <r>
    <x v="174"/>
    <x v="6"/>
    <x v="1"/>
    <x v="4"/>
    <x v="4"/>
    <x v="572"/>
    <x v="573"/>
    <x v="575"/>
    <x v="1"/>
    <x v="1"/>
    <x v="1"/>
    <x v="576"/>
    <x v="1"/>
  </r>
  <r>
    <x v="143"/>
    <x v="1"/>
    <x v="3"/>
    <x v="1"/>
    <x v="8"/>
    <x v="573"/>
    <x v="574"/>
    <x v="576"/>
    <x v="1"/>
    <x v="1"/>
    <x v="1"/>
    <x v="577"/>
    <x v="1"/>
  </r>
  <r>
    <x v="82"/>
    <x v="6"/>
    <x v="1"/>
    <x v="5"/>
    <x v="5"/>
    <x v="574"/>
    <x v="575"/>
    <x v="577"/>
    <x v="1"/>
    <x v="1"/>
    <x v="1"/>
    <x v="578"/>
    <x v="1"/>
  </r>
  <r>
    <x v="110"/>
    <x v="0"/>
    <x v="0"/>
    <x v="7"/>
    <x v="3"/>
    <x v="575"/>
    <x v="576"/>
    <x v="578"/>
    <x v="1"/>
    <x v="1"/>
    <x v="1"/>
    <x v="579"/>
    <x v="1"/>
  </r>
  <r>
    <x v="69"/>
    <x v="1"/>
    <x v="3"/>
    <x v="7"/>
    <x v="3"/>
    <x v="576"/>
    <x v="577"/>
    <x v="579"/>
    <x v="1"/>
    <x v="1"/>
    <x v="1"/>
    <x v="580"/>
    <x v="1"/>
  </r>
  <r>
    <x v="93"/>
    <x v="0"/>
    <x v="1"/>
    <x v="2"/>
    <x v="5"/>
    <x v="577"/>
    <x v="578"/>
    <x v="580"/>
    <x v="1"/>
    <x v="1"/>
    <x v="1"/>
    <x v="581"/>
    <x v="1"/>
  </r>
  <r>
    <x v="36"/>
    <x v="0"/>
    <x v="3"/>
    <x v="7"/>
    <x v="8"/>
    <x v="578"/>
    <x v="579"/>
    <x v="581"/>
    <x v="1"/>
    <x v="1"/>
    <x v="1"/>
    <x v="582"/>
    <x v="1"/>
  </r>
  <r>
    <x v="83"/>
    <x v="3"/>
    <x v="3"/>
    <x v="5"/>
    <x v="7"/>
    <x v="579"/>
    <x v="580"/>
    <x v="582"/>
    <x v="1"/>
    <x v="1"/>
    <x v="1"/>
    <x v="583"/>
    <x v="1"/>
  </r>
  <r>
    <x v="68"/>
    <x v="3"/>
    <x v="0"/>
    <x v="5"/>
    <x v="1"/>
    <x v="580"/>
    <x v="581"/>
    <x v="583"/>
    <x v="1"/>
    <x v="1"/>
    <x v="1"/>
    <x v="584"/>
    <x v="1"/>
  </r>
  <r>
    <x v="76"/>
    <x v="4"/>
    <x v="0"/>
    <x v="3"/>
    <x v="6"/>
    <x v="581"/>
    <x v="582"/>
    <x v="584"/>
    <x v="1"/>
    <x v="1"/>
    <x v="1"/>
    <x v="585"/>
    <x v="1"/>
  </r>
  <r>
    <x v="10"/>
    <x v="1"/>
    <x v="2"/>
    <x v="1"/>
    <x v="1"/>
    <x v="582"/>
    <x v="583"/>
    <x v="585"/>
    <x v="1"/>
    <x v="1"/>
    <x v="1"/>
    <x v="586"/>
    <x v="1"/>
  </r>
  <r>
    <x v="132"/>
    <x v="0"/>
    <x v="3"/>
    <x v="0"/>
    <x v="0"/>
    <x v="583"/>
    <x v="584"/>
    <x v="586"/>
    <x v="1"/>
    <x v="1"/>
    <x v="1"/>
    <x v="587"/>
    <x v="1"/>
  </r>
  <r>
    <x v="31"/>
    <x v="0"/>
    <x v="1"/>
    <x v="7"/>
    <x v="3"/>
    <x v="584"/>
    <x v="585"/>
    <x v="587"/>
    <x v="1"/>
    <x v="1"/>
    <x v="1"/>
    <x v="588"/>
    <x v="1"/>
  </r>
  <r>
    <x v="153"/>
    <x v="5"/>
    <x v="1"/>
    <x v="1"/>
    <x v="1"/>
    <x v="585"/>
    <x v="586"/>
    <x v="588"/>
    <x v="1"/>
    <x v="1"/>
    <x v="1"/>
    <x v="589"/>
    <x v="1"/>
  </r>
  <r>
    <x v="11"/>
    <x v="0"/>
    <x v="0"/>
    <x v="0"/>
    <x v="4"/>
    <x v="586"/>
    <x v="587"/>
    <x v="589"/>
    <x v="1"/>
    <x v="1"/>
    <x v="1"/>
    <x v="590"/>
    <x v="1"/>
  </r>
  <r>
    <x v="10"/>
    <x v="6"/>
    <x v="0"/>
    <x v="7"/>
    <x v="2"/>
    <x v="587"/>
    <x v="588"/>
    <x v="590"/>
    <x v="1"/>
    <x v="1"/>
    <x v="1"/>
    <x v="591"/>
    <x v="1"/>
  </r>
  <r>
    <x v="98"/>
    <x v="3"/>
    <x v="3"/>
    <x v="5"/>
    <x v="1"/>
    <x v="588"/>
    <x v="589"/>
    <x v="591"/>
    <x v="1"/>
    <x v="1"/>
    <x v="1"/>
    <x v="592"/>
    <x v="1"/>
  </r>
  <r>
    <x v="84"/>
    <x v="3"/>
    <x v="3"/>
    <x v="6"/>
    <x v="1"/>
    <x v="589"/>
    <x v="590"/>
    <x v="592"/>
    <x v="1"/>
    <x v="1"/>
    <x v="1"/>
    <x v="593"/>
    <x v="1"/>
  </r>
  <r>
    <x v="69"/>
    <x v="1"/>
    <x v="1"/>
    <x v="3"/>
    <x v="0"/>
    <x v="590"/>
    <x v="591"/>
    <x v="593"/>
    <x v="1"/>
    <x v="1"/>
    <x v="1"/>
    <x v="594"/>
    <x v="1"/>
  </r>
  <r>
    <x v="155"/>
    <x v="4"/>
    <x v="1"/>
    <x v="6"/>
    <x v="8"/>
    <x v="591"/>
    <x v="592"/>
    <x v="594"/>
    <x v="1"/>
    <x v="1"/>
    <x v="1"/>
    <x v="595"/>
    <x v="1"/>
  </r>
  <r>
    <x v="105"/>
    <x v="2"/>
    <x v="2"/>
    <x v="5"/>
    <x v="5"/>
    <x v="592"/>
    <x v="593"/>
    <x v="595"/>
    <x v="1"/>
    <x v="1"/>
    <x v="1"/>
    <x v="596"/>
    <x v="1"/>
  </r>
  <r>
    <x v="64"/>
    <x v="0"/>
    <x v="3"/>
    <x v="0"/>
    <x v="9"/>
    <x v="593"/>
    <x v="594"/>
    <x v="596"/>
    <x v="1"/>
    <x v="1"/>
    <x v="1"/>
    <x v="597"/>
    <x v="1"/>
  </r>
  <r>
    <x v="59"/>
    <x v="5"/>
    <x v="0"/>
    <x v="6"/>
    <x v="3"/>
    <x v="594"/>
    <x v="595"/>
    <x v="597"/>
    <x v="1"/>
    <x v="1"/>
    <x v="1"/>
    <x v="598"/>
    <x v="1"/>
  </r>
  <r>
    <x v="52"/>
    <x v="5"/>
    <x v="3"/>
    <x v="5"/>
    <x v="8"/>
    <x v="595"/>
    <x v="596"/>
    <x v="598"/>
    <x v="1"/>
    <x v="1"/>
    <x v="1"/>
    <x v="599"/>
    <x v="1"/>
  </r>
  <r>
    <x v="0"/>
    <x v="6"/>
    <x v="0"/>
    <x v="4"/>
    <x v="2"/>
    <x v="596"/>
    <x v="597"/>
    <x v="189"/>
    <x v="1"/>
    <x v="1"/>
    <x v="1"/>
    <x v="600"/>
    <x v="1"/>
  </r>
  <r>
    <x v="166"/>
    <x v="5"/>
    <x v="0"/>
    <x v="0"/>
    <x v="9"/>
    <x v="597"/>
    <x v="598"/>
    <x v="599"/>
    <x v="1"/>
    <x v="1"/>
    <x v="1"/>
    <x v="601"/>
    <x v="1"/>
  </r>
  <r>
    <x v="167"/>
    <x v="2"/>
    <x v="0"/>
    <x v="1"/>
    <x v="8"/>
    <x v="598"/>
    <x v="599"/>
    <x v="600"/>
    <x v="1"/>
    <x v="1"/>
    <x v="1"/>
    <x v="602"/>
    <x v="1"/>
  </r>
  <r>
    <x v="42"/>
    <x v="1"/>
    <x v="0"/>
    <x v="7"/>
    <x v="8"/>
    <x v="599"/>
    <x v="600"/>
    <x v="601"/>
    <x v="1"/>
    <x v="1"/>
    <x v="1"/>
    <x v="603"/>
    <x v="1"/>
  </r>
  <r>
    <x v="82"/>
    <x v="6"/>
    <x v="0"/>
    <x v="5"/>
    <x v="9"/>
    <x v="600"/>
    <x v="601"/>
    <x v="602"/>
    <x v="1"/>
    <x v="1"/>
    <x v="1"/>
    <x v="604"/>
    <x v="1"/>
  </r>
  <r>
    <x v="8"/>
    <x v="6"/>
    <x v="2"/>
    <x v="1"/>
    <x v="3"/>
    <x v="601"/>
    <x v="602"/>
    <x v="603"/>
    <x v="1"/>
    <x v="1"/>
    <x v="1"/>
    <x v="605"/>
    <x v="1"/>
  </r>
  <r>
    <x v="37"/>
    <x v="3"/>
    <x v="3"/>
    <x v="2"/>
    <x v="2"/>
    <x v="602"/>
    <x v="603"/>
    <x v="604"/>
    <x v="1"/>
    <x v="1"/>
    <x v="1"/>
    <x v="606"/>
    <x v="1"/>
  </r>
  <r>
    <x v="35"/>
    <x v="0"/>
    <x v="3"/>
    <x v="4"/>
    <x v="9"/>
    <x v="603"/>
    <x v="604"/>
    <x v="605"/>
    <x v="1"/>
    <x v="1"/>
    <x v="1"/>
    <x v="607"/>
    <x v="1"/>
  </r>
  <r>
    <x v="6"/>
    <x v="1"/>
    <x v="1"/>
    <x v="2"/>
    <x v="7"/>
    <x v="604"/>
    <x v="605"/>
    <x v="606"/>
    <x v="1"/>
    <x v="1"/>
    <x v="1"/>
    <x v="608"/>
    <x v="1"/>
  </r>
  <r>
    <x v="53"/>
    <x v="0"/>
    <x v="3"/>
    <x v="6"/>
    <x v="7"/>
    <x v="605"/>
    <x v="606"/>
    <x v="607"/>
    <x v="1"/>
    <x v="1"/>
    <x v="1"/>
    <x v="609"/>
    <x v="1"/>
  </r>
  <r>
    <x v="57"/>
    <x v="5"/>
    <x v="3"/>
    <x v="0"/>
    <x v="8"/>
    <x v="606"/>
    <x v="607"/>
    <x v="608"/>
    <x v="1"/>
    <x v="1"/>
    <x v="1"/>
    <x v="610"/>
    <x v="1"/>
  </r>
  <r>
    <x v="40"/>
    <x v="5"/>
    <x v="3"/>
    <x v="2"/>
    <x v="6"/>
    <x v="607"/>
    <x v="608"/>
    <x v="609"/>
    <x v="1"/>
    <x v="1"/>
    <x v="1"/>
    <x v="611"/>
    <x v="1"/>
  </r>
  <r>
    <x v="136"/>
    <x v="6"/>
    <x v="0"/>
    <x v="5"/>
    <x v="2"/>
    <x v="608"/>
    <x v="609"/>
    <x v="610"/>
    <x v="1"/>
    <x v="1"/>
    <x v="1"/>
    <x v="612"/>
    <x v="1"/>
  </r>
  <r>
    <x v="158"/>
    <x v="4"/>
    <x v="2"/>
    <x v="6"/>
    <x v="3"/>
    <x v="609"/>
    <x v="610"/>
    <x v="611"/>
    <x v="1"/>
    <x v="1"/>
    <x v="1"/>
    <x v="613"/>
    <x v="1"/>
  </r>
  <r>
    <x v="61"/>
    <x v="4"/>
    <x v="0"/>
    <x v="6"/>
    <x v="3"/>
    <x v="610"/>
    <x v="611"/>
    <x v="612"/>
    <x v="1"/>
    <x v="1"/>
    <x v="1"/>
    <x v="614"/>
    <x v="1"/>
  </r>
  <r>
    <x v="169"/>
    <x v="1"/>
    <x v="0"/>
    <x v="2"/>
    <x v="9"/>
    <x v="611"/>
    <x v="612"/>
    <x v="613"/>
    <x v="1"/>
    <x v="1"/>
    <x v="1"/>
    <x v="615"/>
    <x v="1"/>
  </r>
  <r>
    <x v="43"/>
    <x v="5"/>
    <x v="2"/>
    <x v="6"/>
    <x v="0"/>
    <x v="612"/>
    <x v="613"/>
    <x v="614"/>
    <x v="1"/>
    <x v="1"/>
    <x v="1"/>
    <x v="616"/>
    <x v="1"/>
  </r>
  <r>
    <x v="128"/>
    <x v="2"/>
    <x v="0"/>
    <x v="2"/>
    <x v="6"/>
    <x v="613"/>
    <x v="614"/>
    <x v="615"/>
    <x v="1"/>
    <x v="1"/>
    <x v="1"/>
    <x v="617"/>
    <x v="1"/>
  </r>
  <r>
    <x v="101"/>
    <x v="5"/>
    <x v="1"/>
    <x v="6"/>
    <x v="7"/>
    <x v="614"/>
    <x v="615"/>
    <x v="616"/>
    <x v="1"/>
    <x v="1"/>
    <x v="1"/>
    <x v="618"/>
    <x v="1"/>
  </r>
  <r>
    <x v="175"/>
    <x v="5"/>
    <x v="0"/>
    <x v="7"/>
    <x v="5"/>
    <x v="615"/>
    <x v="616"/>
    <x v="617"/>
    <x v="1"/>
    <x v="1"/>
    <x v="1"/>
    <x v="619"/>
    <x v="1"/>
  </r>
  <r>
    <x v="32"/>
    <x v="0"/>
    <x v="2"/>
    <x v="3"/>
    <x v="0"/>
    <x v="616"/>
    <x v="617"/>
    <x v="618"/>
    <x v="1"/>
    <x v="1"/>
    <x v="1"/>
    <x v="620"/>
    <x v="1"/>
  </r>
  <r>
    <x v="176"/>
    <x v="0"/>
    <x v="2"/>
    <x v="2"/>
    <x v="7"/>
    <x v="617"/>
    <x v="618"/>
    <x v="619"/>
    <x v="1"/>
    <x v="1"/>
    <x v="1"/>
    <x v="621"/>
    <x v="1"/>
  </r>
  <r>
    <x v="36"/>
    <x v="1"/>
    <x v="0"/>
    <x v="1"/>
    <x v="4"/>
    <x v="618"/>
    <x v="619"/>
    <x v="620"/>
    <x v="1"/>
    <x v="1"/>
    <x v="1"/>
    <x v="622"/>
    <x v="1"/>
  </r>
  <r>
    <x v="92"/>
    <x v="4"/>
    <x v="0"/>
    <x v="5"/>
    <x v="5"/>
    <x v="619"/>
    <x v="620"/>
    <x v="621"/>
    <x v="1"/>
    <x v="1"/>
    <x v="1"/>
    <x v="623"/>
    <x v="1"/>
  </r>
  <r>
    <x v="165"/>
    <x v="3"/>
    <x v="1"/>
    <x v="5"/>
    <x v="4"/>
    <x v="620"/>
    <x v="621"/>
    <x v="622"/>
    <x v="1"/>
    <x v="1"/>
    <x v="1"/>
    <x v="624"/>
    <x v="1"/>
  </r>
  <r>
    <x v="140"/>
    <x v="3"/>
    <x v="1"/>
    <x v="3"/>
    <x v="3"/>
    <x v="339"/>
    <x v="622"/>
    <x v="623"/>
    <x v="1"/>
    <x v="1"/>
    <x v="1"/>
    <x v="625"/>
    <x v="1"/>
  </r>
  <r>
    <x v="5"/>
    <x v="5"/>
    <x v="0"/>
    <x v="5"/>
    <x v="7"/>
    <x v="621"/>
    <x v="623"/>
    <x v="624"/>
    <x v="1"/>
    <x v="1"/>
    <x v="1"/>
    <x v="626"/>
    <x v="1"/>
  </r>
  <r>
    <x v="126"/>
    <x v="6"/>
    <x v="3"/>
    <x v="0"/>
    <x v="1"/>
    <x v="622"/>
    <x v="624"/>
    <x v="625"/>
    <x v="1"/>
    <x v="1"/>
    <x v="1"/>
    <x v="627"/>
    <x v="1"/>
  </r>
  <r>
    <x v="9"/>
    <x v="4"/>
    <x v="1"/>
    <x v="6"/>
    <x v="8"/>
    <x v="623"/>
    <x v="625"/>
    <x v="626"/>
    <x v="1"/>
    <x v="1"/>
    <x v="1"/>
    <x v="628"/>
    <x v="1"/>
  </r>
  <r>
    <x v="6"/>
    <x v="3"/>
    <x v="3"/>
    <x v="6"/>
    <x v="1"/>
    <x v="624"/>
    <x v="626"/>
    <x v="627"/>
    <x v="1"/>
    <x v="1"/>
    <x v="1"/>
    <x v="629"/>
    <x v="1"/>
  </r>
  <r>
    <x v="111"/>
    <x v="5"/>
    <x v="2"/>
    <x v="4"/>
    <x v="2"/>
    <x v="625"/>
    <x v="627"/>
    <x v="628"/>
    <x v="1"/>
    <x v="1"/>
    <x v="1"/>
    <x v="630"/>
    <x v="1"/>
  </r>
  <r>
    <x v="49"/>
    <x v="6"/>
    <x v="0"/>
    <x v="1"/>
    <x v="8"/>
    <x v="626"/>
    <x v="628"/>
    <x v="629"/>
    <x v="1"/>
    <x v="1"/>
    <x v="1"/>
    <x v="631"/>
    <x v="1"/>
  </r>
  <r>
    <x v="167"/>
    <x v="1"/>
    <x v="2"/>
    <x v="6"/>
    <x v="2"/>
    <x v="627"/>
    <x v="629"/>
    <x v="630"/>
    <x v="1"/>
    <x v="1"/>
    <x v="1"/>
    <x v="632"/>
    <x v="1"/>
  </r>
  <r>
    <x v="43"/>
    <x v="0"/>
    <x v="1"/>
    <x v="7"/>
    <x v="7"/>
    <x v="628"/>
    <x v="630"/>
    <x v="631"/>
    <x v="1"/>
    <x v="1"/>
    <x v="1"/>
    <x v="633"/>
    <x v="1"/>
  </r>
  <r>
    <x v="122"/>
    <x v="0"/>
    <x v="3"/>
    <x v="7"/>
    <x v="0"/>
    <x v="629"/>
    <x v="631"/>
    <x v="632"/>
    <x v="1"/>
    <x v="1"/>
    <x v="1"/>
    <x v="634"/>
    <x v="1"/>
  </r>
  <r>
    <x v="30"/>
    <x v="0"/>
    <x v="2"/>
    <x v="5"/>
    <x v="0"/>
    <x v="630"/>
    <x v="632"/>
    <x v="633"/>
    <x v="1"/>
    <x v="1"/>
    <x v="1"/>
    <x v="635"/>
    <x v="1"/>
  </r>
  <r>
    <x v="70"/>
    <x v="0"/>
    <x v="3"/>
    <x v="3"/>
    <x v="4"/>
    <x v="631"/>
    <x v="633"/>
    <x v="634"/>
    <x v="1"/>
    <x v="1"/>
    <x v="1"/>
    <x v="636"/>
    <x v="1"/>
  </r>
  <r>
    <x v="87"/>
    <x v="4"/>
    <x v="0"/>
    <x v="0"/>
    <x v="4"/>
    <x v="632"/>
    <x v="634"/>
    <x v="635"/>
    <x v="1"/>
    <x v="1"/>
    <x v="1"/>
    <x v="637"/>
    <x v="1"/>
  </r>
  <r>
    <x v="69"/>
    <x v="3"/>
    <x v="2"/>
    <x v="5"/>
    <x v="0"/>
    <x v="633"/>
    <x v="635"/>
    <x v="636"/>
    <x v="1"/>
    <x v="1"/>
    <x v="1"/>
    <x v="638"/>
    <x v="1"/>
  </r>
  <r>
    <x v="168"/>
    <x v="6"/>
    <x v="2"/>
    <x v="1"/>
    <x v="0"/>
    <x v="634"/>
    <x v="636"/>
    <x v="637"/>
    <x v="1"/>
    <x v="1"/>
    <x v="1"/>
    <x v="639"/>
    <x v="1"/>
  </r>
  <r>
    <x v="133"/>
    <x v="6"/>
    <x v="0"/>
    <x v="7"/>
    <x v="6"/>
    <x v="482"/>
    <x v="637"/>
    <x v="638"/>
    <x v="1"/>
    <x v="1"/>
    <x v="1"/>
    <x v="640"/>
    <x v="1"/>
  </r>
  <r>
    <x v="21"/>
    <x v="0"/>
    <x v="3"/>
    <x v="5"/>
    <x v="1"/>
    <x v="635"/>
    <x v="638"/>
    <x v="639"/>
    <x v="1"/>
    <x v="1"/>
    <x v="1"/>
    <x v="641"/>
    <x v="1"/>
  </r>
  <r>
    <x v="7"/>
    <x v="4"/>
    <x v="0"/>
    <x v="7"/>
    <x v="9"/>
    <x v="636"/>
    <x v="639"/>
    <x v="640"/>
    <x v="1"/>
    <x v="1"/>
    <x v="1"/>
    <x v="642"/>
    <x v="1"/>
  </r>
  <r>
    <x v="165"/>
    <x v="6"/>
    <x v="0"/>
    <x v="4"/>
    <x v="3"/>
    <x v="637"/>
    <x v="640"/>
    <x v="641"/>
    <x v="1"/>
    <x v="1"/>
    <x v="1"/>
    <x v="643"/>
    <x v="1"/>
  </r>
  <r>
    <x v="132"/>
    <x v="0"/>
    <x v="2"/>
    <x v="7"/>
    <x v="1"/>
    <x v="638"/>
    <x v="641"/>
    <x v="642"/>
    <x v="1"/>
    <x v="1"/>
    <x v="1"/>
    <x v="644"/>
    <x v="1"/>
  </r>
  <r>
    <x v="69"/>
    <x v="0"/>
    <x v="0"/>
    <x v="7"/>
    <x v="6"/>
    <x v="639"/>
    <x v="642"/>
    <x v="643"/>
    <x v="1"/>
    <x v="1"/>
    <x v="1"/>
    <x v="645"/>
    <x v="1"/>
  </r>
  <r>
    <x v="69"/>
    <x v="4"/>
    <x v="1"/>
    <x v="3"/>
    <x v="1"/>
    <x v="640"/>
    <x v="643"/>
    <x v="644"/>
    <x v="1"/>
    <x v="1"/>
    <x v="1"/>
    <x v="646"/>
    <x v="1"/>
  </r>
  <r>
    <x v="77"/>
    <x v="2"/>
    <x v="0"/>
    <x v="2"/>
    <x v="4"/>
    <x v="641"/>
    <x v="644"/>
    <x v="645"/>
    <x v="1"/>
    <x v="1"/>
    <x v="1"/>
    <x v="647"/>
    <x v="1"/>
  </r>
  <r>
    <x v="156"/>
    <x v="0"/>
    <x v="3"/>
    <x v="4"/>
    <x v="1"/>
    <x v="642"/>
    <x v="645"/>
    <x v="646"/>
    <x v="1"/>
    <x v="1"/>
    <x v="1"/>
    <x v="648"/>
    <x v="1"/>
  </r>
  <r>
    <x v="139"/>
    <x v="6"/>
    <x v="1"/>
    <x v="1"/>
    <x v="1"/>
    <x v="643"/>
    <x v="646"/>
    <x v="647"/>
    <x v="1"/>
    <x v="1"/>
    <x v="1"/>
    <x v="649"/>
    <x v="1"/>
  </r>
  <r>
    <x v="12"/>
    <x v="2"/>
    <x v="1"/>
    <x v="5"/>
    <x v="8"/>
    <x v="644"/>
    <x v="647"/>
    <x v="648"/>
    <x v="1"/>
    <x v="1"/>
    <x v="1"/>
    <x v="650"/>
    <x v="1"/>
  </r>
  <r>
    <x v="96"/>
    <x v="6"/>
    <x v="0"/>
    <x v="7"/>
    <x v="0"/>
    <x v="645"/>
    <x v="648"/>
    <x v="649"/>
    <x v="1"/>
    <x v="1"/>
    <x v="1"/>
    <x v="651"/>
    <x v="1"/>
  </r>
  <r>
    <x v="67"/>
    <x v="3"/>
    <x v="3"/>
    <x v="3"/>
    <x v="5"/>
    <x v="646"/>
    <x v="649"/>
    <x v="650"/>
    <x v="1"/>
    <x v="1"/>
    <x v="1"/>
    <x v="652"/>
    <x v="1"/>
  </r>
  <r>
    <x v="25"/>
    <x v="1"/>
    <x v="1"/>
    <x v="4"/>
    <x v="5"/>
    <x v="647"/>
    <x v="650"/>
    <x v="651"/>
    <x v="1"/>
    <x v="1"/>
    <x v="1"/>
    <x v="653"/>
    <x v="1"/>
  </r>
  <r>
    <x v="144"/>
    <x v="1"/>
    <x v="3"/>
    <x v="1"/>
    <x v="9"/>
    <x v="648"/>
    <x v="651"/>
    <x v="652"/>
    <x v="1"/>
    <x v="1"/>
    <x v="1"/>
    <x v="654"/>
    <x v="1"/>
  </r>
  <r>
    <x v="112"/>
    <x v="2"/>
    <x v="0"/>
    <x v="7"/>
    <x v="9"/>
    <x v="649"/>
    <x v="652"/>
    <x v="653"/>
    <x v="1"/>
    <x v="1"/>
    <x v="1"/>
    <x v="655"/>
    <x v="1"/>
  </r>
  <r>
    <x v="98"/>
    <x v="1"/>
    <x v="1"/>
    <x v="1"/>
    <x v="3"/>
    <x v="650"/>
    <x v="653"/>
    <x v="654"/>
    <x v="1"/>
    <x v="1"/>
    <x v="1"/>
    <x v="656"/>
    <x v="1"/>
  </r>
  <r>
    <x v="163"/>
    <x v="1"/>
    <x v="0"/>
    <x v="4"/>
    <x v="9"/>
    <x v="651"/>
    <x v="631"/>
    <x v="655"/>
    <x v="1"/>
    <x v="1"/>
    <x v="1"/>
    <x v="657"/>
    <x v="1"/>
  </r>
  <r>
    <x v="90"/>
    <x v="0"/>
    <x v="3"/>
    <x v="4"/>
    <x v="2"/>
    <x v="652"/>
    <x v="654"/>
    <x v="656"/>
    <x v="1"/>
    <x v="1"/>
    <x v="1"/>
    <x v="658"/>
    <x v="1"/>
  </r>
  <r>
    <x v="68"/>
    <x v="3"/>
    <x v="1"/>
    <x v="7"/>
    <x v="2"/>
    <x v="653"/>
    <x v="655"/>
    <x v="657"/>
    <x v="1"/>
    <x v="1"/>
    <x v="1"/>
    <x v="659"/>
    <x v="1"/>
  </r>
  <r>
    <x v="115"/>
    <x v="2"/>
    <x v="2"/>
    <x v="4"/>
    <x v="3"/>
    <x v="654"/>
    <x v="656"/>
    <x v="658"/>
    <x v="1"/>
    <x v="1"/>
    <x v="1"/>
    <x v="660"/>
    <x v="1"/>
  </r>
  <r>
    <x v="53"/>
    <x v="0"/>
    <x v="3"/>
    <x v="6"/>
    <x v="2"/>
    <x v="655"/>
    <x v="657"/>
    <x v="659"/>
    <x v="1"/>
    <x v="1"/>
    <x v="1"/>
    <x v="661"/>
    <x v="1"/>
  </r>
  <r>
    <x v="85"/>
    <x v="5"/>
    <x v="1"/>
    <x v="5"/>
    <x v="3"/>
    <x v="656"/>
    <x v="658"/>
    <x v="660"/>
    <x v="1"/>
    <x v="1"/>
    <x v="1"/>
    <x v="662"/>
    <x v="1"/>
  </r>
  <r>
    <x v="52"/>
    <x v="3"/>
    <x v="1"/>
    <x v="2"/>
    <x v="5"/>
    <x v="657"/>
    <x v="659"/>
    <x v="661"/>
    <x v="1"/>
    <x v="1"/>
    <x v="1"/>
    <x v="663"/>
    <x v="1"/>
  </r>
  <r>
    <x v="150"/>
    <x v="6"/>
    <x v="1"/>
    <x v="4"/>
    <x v="3"/>
    <x v="658"/>
    <x v="660"/>
    <x v="662"/>
    <x v="1"/>
    <x v="1"/>
    <x v="1"/>
    <x v="664"/>
    <x v="1"/>
  </r>
  <r>
    <x v="22"/>
    <x v="0"/>
    <x v="1"/>
    <x v="4"/>
    <x v="6"/>
    <x v="659"/>
    <x v="661"/>
    <x v="663"/>
    <x v="1"/>
    <x v="1"/>
    <x v="1"/>
    <x v="665"/>
    <x v="1"/>
  </r>
  <r>
    <x v="49"/>
    <x v="0"/>
    <x v="2"/>
    <x v="7"/>
    <x v="0"/>
    <x v="660"/>
    <x v="662"/>
    <x v="664"/>
    <x v="1"/>
    <x v="1"/>
    <x v="1"/>
    <x v="666"/>
    <x v="1"/>
  </r>
  <r>
    <x v="107"/>
    <x v="6"/>
    <x v="3"/>
    <x v="4"/>
    <x v="5"/>
    <x v="661"/>
    <x v="663"/>
    <x v="665"/>
    <x v="1"/>
    <x v="1"/>
    <x v="1"/>
    <x v="667"/>
    <x v="1"/>
  </r>
  <r>
    <x v="4"/>
    <x v="5"/>
    <x v="3"/>
    <x v="1"/>
    <x v="0"/>
    <x v="662"/>
    <x v="664"/>
    <x v="666"/>
    <x v="1"/>
    <x v="1"/>
    <x v="1"/>
    <x v="668"/>
    <x v="1"/>
  </r>
  <r>
    <x v="52"/>
    <x v="1"/>
    <x v="1"/>
    <x v="1"/>
    <x v="6"/>
    <x v="663"/>
    <x v="665"/>
    <x v="667"/>
    <x v="1"/>
    <x v="1"/>
    <x v="1"/>
    <x v="669"/>
    <x v="1"/>
  </r>
  <r>
    <x v="30"/>
    <x v="6"/>
    <x v="2"/>
    <x v="7"/>
    <x v="4"/>
    <x v="664"/>
    <x v="666"/>
    <x v="668"/>
    <x v="1"/>
    <x v="1"/>
    <x v="1"/>
    <x v="670"/>
    <x v="1"/>
  </r>
  <r>
    <x v="8"/>
    <x v="5"/>
    <x v="2"/>
    <x v="3"/>
    <x v="9"/>
    <x v="665"/>
    <x v="667"/>
    <x v="669"/>
    <x v="1"/>
    <x v="1"/>
    <x v="1"/>
    <x v="671"/>
    <x v="1"/>
  </r>
  <r>
    <x v="61"/>
    <x v="5"/>
    <x v="1"/>
    <x v="5"/>
    <x v="0"/>
    <x v="666"/>
    <x v="668"/>
    <x v="670"/>
    <x v="1"/>
    <x v="1"/>
    <x v="1"/>
    <x v="672"/>
    <x v="1"/>
  </r>
  <r>
    <x v="120"/>
    <x v="6"/>
    <x v="1"/>
    <x v="1"/>
    <x v="9"/>
    <x v="667"/>
    <x v="669"/>
    <x v="671"/>
    <x v="1"/>
    <x v="1"/>
    <x v="1"/>
    <x v="673"/>
    <x v="1"/>
  </r>
  <r>
    <x v="5"/>
    <x v="0"/>
    <x v="0"/>
    <x v="3"/>
    <x v="0"/>
    <x v="668"/>
    <x v="670"/>
    <x v="672"/>
    <x v="1"/>
    <x v="1"/>
    <x v="1"/>
    <x v="674"/>
    <x v="1"/>
  </r>
  <r>
    <x v="7"/>
    <x v="4"/>
    <x v="0"/>
    <x v="3"/>
    <x v="4"/>
    <x v="669"/>
    <x v="671"/>
    <x v="673"/>
    <x v="1"/>
    <x v="1"/>
    <x v="1"/>
    <x v="675"/>
    <x v="1"/>
  </r>
  <r>
    <x v="173"/>
    <x v="0"/>
    <x v="3"/>
    <x v="6"/>
    <x v="0"/>
    <x v="670"/>
    <x v="672"/>
    <x v="674"/>
    <x v="1"/>
    <x v="1"/>
    <x v="1"/>
    <x v="676"/>
    <x v="1"/>
  </r>
  <r>
    <x v="18"/>
    <x v="2"/>
    <x v="3"/>
    <x v="5"/>
    <x v="4"/>
    <x v="671"/>
    <x v="673"/>
    <x v="675"/>
    <x v="1"/>
    <x v="1"/>
    <x v="1"/>
    <x v="677"/>
    <x v="1"/>
  </r>
  <r>
    <x v="71"/>
    <x v="5"/>
    <x v="0"/>
    <x v="7"/>
    <x v="6"/>
    <x v="672"/>
    <x v="674"/>
    <x v="676"/>
    <x v="1"/>
    <x v="1"/>
    <x v="1"/>
    <x v="678"/>
    <x v="1"/>
  </r>
  <r>
    <x v="177"/>
    <x v="0"/>
    <x v="0"/>
    <x v="6"/>
    <x v="0"/>
    <x v="673"/>
    <x v="675"/>
    <x v="677"/>
    <x v="1"/>
    <x v="1"/>
    <x v="1"/>
    <x v="679"/>
    <x v="1"/>
  </r>
  <r>
    <x v="108"/>
    <x v="4"/>
    <x v="2"/>
    <x v="5"/>
    <x v="1"/>
    <x v="674"/>
    <x v="676"/>
    <x v="678"/>
    <x v="1"/>
    <x v="1"/>
    <x v="1"/>
    <x v="680"/>
    <x v="1"/>
  </r>
  <r>
    <x v="19"/>
    <x v="0"/>
    <x v="3"/>
    <x v="3"/>
    <x v="0"/>
    <x v="675"/>
    <x v="677"/>
    <x v="679"/>
    <x v="1"/>
    <x v="1"/>
    <x v="1"/>
    <x v="681"/>
    <x v="1"/>
  </r>
  <r>
    <x v="125"/>
    <x v="3"/>
    <x v="2"/>
    <x v="5"/>
    <x v="4"/>
    <x v="676"/>
    <x v="678"/>
    <x v="680"/>
    <x v="1"/>
    <x v="1"/>
    <x v="1"/>
    <x v="682"/>
    <x v="1"/>
  </r>
  <r>
    <x v="130"/>
    <x v="1"/>
    <x v="3"/>
    <x v="2"/>
    <x v="8"/>
    <x v="677"/>
    <x v="679"/>
    <x v="681"/>
    <x v="1"/>
    <x v="1"/>
    <x v="1"/>
    <x v="683"/>
    <x v="1"/>
  </r>
  <r>
    <x v="18"/>
    <x v="6"/>
    <x v="2"/>
    <x v="4"/>
    <x v="3"/>
    <x v="678"/>
    <x v="680"/>
    <x v="682"/>
    <x v="1"/>
    <x v="1"/>
    <x v="1"/>
    <x v="684"/>
    <x v="1"/>
  </r>
  <r>
    <x v="156"/>
    <x v="6"/>
    <x v="0"/>
    <x v="5"/>
    <x v="7"/>
    <x v="679"/>
    <x v="681"/>
    <x v="683"/>
    <x v="1"/>
    <x v="1"/>
    <x v="1"/>
    <x v="685"/>
    <x v="1"/>
  </r>
  <r>
    <x v="56"/>
    <x v="5"/>
    <x v="1"/>
    <x v="3"/>
    <x v="7"/>
    <x v="680"/>
    <x v="682"/>
    <x v="684"/>
    <x v="1"/>
    <x v="1"/>
    <x v="1"/>
    <x v="686"/>
    <x v="1"/>
  </r>
  <r>
    <x v="138"/>
    <x v="6"/>
    <x v="1"/>
    <x v="5"/>
    <x v="1"/>
    <x v="681"/>
    <x v="683"/>
    <x v="685"/>
    <x v="1"/>
    <x v="1"/>
    <x v="1"/>
    <x v="687"/>
    <x v="1"/>
  </r>
  <r>
    <x v="158"/>
    <x v="1"/>
    <x v="1"/>
    <x v="5"/>
    <x v="7"/>
    <x v="682"/>
    <x v="684"/>
    <x v="686"/>
    <x v="1"/>
    <x v="1"/>
    <x v="1"/>
    <x v="688"/>
    <x v="1"/>
  </r>
  <r>
    <x v="39"/>
    <x v="2"/>
    <x v="1"/>
    <x v="1"/>
    <x v="8"/>
    <x v="683"/>
    <x v="685"/>
    <x v="687"/>
    <x v="1"/>
    <x v="1"/>
    <x v="1"/>
    <x v="689"/>
    <x v="1"/>
  </r>
  <r>
    <x v="36"/>
    <x v="2"/>
    <x v="1"/>
    <x v="4"/>
    <x v="7"/>
    <x v="684"/>
    <x v="686"/>
    <x v="688"/>
    <x v="1"/>
    <x v="1"/>
    <x v="1"/>
    <x v="690"/>
    <x v="1"/>
  </r>
  <r>
    <x v="148"/>
    <x v="6"/>
    <x v="1"/>
    <x v="5"/>
    <x v="8"/>
    <x v="685"/>
    <x v="687"/>
    <x v="689"/>
    <x v="1"/>
    <x v="1"/>
    <x v="1"/>
    <x v="691"/>
    <x v="1"/>
  </r>
  <r>
    <x v="169"/>
    <x v="2"/>
    <x v="3"/>
    <x v="1"/>
    <x v="8"/>
    <x v="686"/>
    <x v="688"/>
    <x v="690"/>
    <x v="1"/>
    <x v="1"/>
    <x v="1"/>
    <x v="692"/>
    <x v="1"/>
  </r>
  <r>
    <x v="178"/>
    <x v="5"/>
    <x v="1"/>
    <x v="2"/>
    <x v="9"/>
    <x v="687"/>
    <x v="689"/>
    <x v="691"/>
    <x v="1"/>
    <x v="1"/>
    <x v="1"/>
    <x v="693"/>
    <x v="1"/>
  </r>
  <r>
    <x v="23"/>
    <x v="3"/>
    <x v="0"/>
    <x v="4"/>
    <x v="0"/>
    <x v="688"/>
    <x v="690"/>
    <x v="692"/>
    <x v="1"/>
    <x v="1"/>
    <x v="1"/>
    <x v="694"/>
    <x v="1"/>
  </r>
  <r>
    <x v="50"/>
    <x v="4"/>
    <x v="3"/>
    <x v="5"/>
    <x v="2"/>
    <x v="689"/>
    <x v="691"/>
    <x v="693"/>
    <x v="1"/>
    <x v="1"/>
    <x v="1"/>
    <x v="695"/>
    <x v="1"/>
  </r>
  <r>
    <x v="37"/>
    <x v="2"/>
    <x v="3"/>
    <x v="6"/>
    <x v="9"/>
    <x v="690"/>
    <x v="692"/>
    <x v="694"/>
    <x v="1"/>
    <x v="1"/>
    <x v="1"/>
    <x v="696"/>
    <x v="1"/>
  </r>
  <r>
    <x v="14"/>
    <x v="3"/>
    <x v="1"/>
    <x v="4"/>
    <x v="1"/>
    <x v="691"/>
    <x v="693"/>
    <x v="695"/>
    <x v="1"/>
    <x v="1"/>
    <x v="1"/>
    <x v="697"/>
    <x v="1"/>
  </r>
  <r>
    <x v="136"/>
    <x v="2"/>
    <x v="2"/>
    <x v="1"/>
    <x v="2"/>
    <x v="692"/>
    <x v="694"/>
    <x v="696"/>
    <x v="1"/>
    <x v="1"/>
    <x v="1"/>
    <x v="698"/>
    <x v="1"/>
  </r>
  <r>
    <x v="154"/>
    <x v="1"/>
    <x v="3"/>
    <x v="0"/>
    <x v="7"/>
    <x v="693"/>
    <x v="695"/>
    <x v="697"/>
    <x v="1"/>
    <x v="1"/>
    <x v="1"/>
    <x v="699"/>
    <x v="1"/>
  </r>
  <r>
    <x v="44"/>
    <x v="0"/>
    <x v="1"/>
    <x v="1"/>
    <x v="0"/>
    <x v="694"/>
    <x v="696"/>
    <x v="698"/>
    <x v="1"/>
    <x v="1"/>
    <x v="1"/>
    <x v="700"/>
    <x v="1"/>
  </r>
  <r>
    <x v="137"/>
    <x v="6"/>
    <x v="3"/>
    <x v="5"/>
    <x v="5"/>
    <x v="695"/>
    <x v="697"/>
    <x v="699"/>
    <x v="1"/>
    <x v="1"/>
    <x v="1"/>
    <x v="701"/>
    <x v="1"/>
  </r>
  <r>
    <x v="71"/>
    <x v="4"/>
    <x v="2"/>
    <x v="1"/>
    <x v="8"/>
    <x v="696"/>
    <x v="698"/>
    <x v="700"/>
    <x v="1"/>
    <x v="1"/>
    <x v="1"/>
    <x v="702"/>
    <x v="1"/>
  </r>
  <r>
    <x v="118"/>
    <x v="6"/>
    <x v="0"/>
    <x v="0"/>
    <x v="0"/>
    <x v="697"/>
    <x v="699"/>
    <x v="701"/>
    <x v="1"/>
    <x v="1"/>
    <x v="1"/>
    <x v="703"/>
    <x v="1"/>
  </r>
  <r>
    <x v="42"/>
    <x v="0"/>
    <x v="1"/>
    <x v="4"/>
    <x v="5"/>
    <x v="698"/>
    <x v="700"/>
    <x v="702"/>
    <x v="1"/>
    <x v="1"/>
    <x v="1"/>
    <x v="704"/>
    <x v="1"/>
  </r>
  <r>
    <x v="139"/>
    <x v="4"/>
    <x v="0"/>
    <x v="2"/>
    <x v="0"/>
    <x v="699"/>
    <x v="701"/>
    <x v="703"/>
    <x v="1"/>
    <x v="1"/>
    <x v="1"/>
    <x v="705"/>
    <x v="1"/>
  </r>
  <r>
    <x v="49"/>
    <x v="6"/>
    <x v="1"/>
    <x v="1"/>
    <x v="7"/>
    <x v="700"/>
    <x v="702"/>
    <x v="704"/>
    <x v="1"/>
    <x v="1"/>
    <x v="1"/>
    <x v="706"/>
    <x v="1"/>
  </r>
  <r>
    <x v="175"/>
    <x v="4"/>
    <x v="1"/>
    <x v="2"/>
    <x v="4"/>
    <x v="701"/>
    <x v="703"/>
    <x v="705"/>
    <x v="1"/>
    <x v="1"/>
    <x v="1"/>
    <x v="707"/>
    <x v="1"/>
  </r>
  <r>
    <x v="55"/>
    <x v="2"/>
    <x v="3"/>
    <x v="1"/>
    <x v="0"/>
    <x v="702"/>
    <x v="704"/>
    <x v="706"/>
    <x v="1"/>
    <x v="1"/>
    <x v="1"/>
    <x v="708"/>
    <x v="1"/>
  </r>
  <r>
    <x v="142"/>
    <x v="4"/>
    <x v="1"/>
    <x v="3"/>
    <x v="4"/>
    <x v="703"/>
    <x v="705"/>
    <x v="707"/>
    <x v="1"/>
    <x v="1"/>
    <x v="1"/>
    <x v="709"/>
    <x v="1"/>
  </r>
  <r>
    <x v="67"/>
    <x v="5"/>
    <x v="3"/>
    <x v="1"/>
    <x v="2"/>
    <x v="704"/>
    <x v="706"/>
    <x v="708"/>
    <x v="1"/>
    <x v="1"/>
    <x v="1"/>
    <x v="710"/>
    <x v="1"/>
  </r>
  <r>
    <x v="72"/>
    <x v="2"/>
    <x v="3"/>
    <x v="0"/>
    <x v="6"/>
    <x v="705"/>
    <x v="707"/>
    <x v="709"/>
    <x v="1"/>
    <x v="1"/>
    <x v="1"/>
    <x v="711"/>
    <x v="1"/>
  </r>
  <r>
    <x v="58"/>
    <x v="1"/>
    <x v="1"/>
    <x v="6"/>
    <x v="1"/>
    <x v="706"/>
    <x v="708"/>
    <x v="710"/>
    <x v="1"/>
    <x v="1"/>
    <x v="1"/>
    <x v="712"/>
    <x v="1"/>
  </r>
  <r>
    <x v="160"/>
    <x v="5"/>
    <x v="0"/>
    <x v="1"/>
    <x v="1"/>
    <x v="707"/>
    <x v="709"/>
    <x v="711"/>
    <x v="1"/>
    <x v="1"/>
    <x v="1"/>
    <x v="713"/>
    <x v="1"/>
  </r>
  <r>
    <x v="159"/>
    <x v="2"/>
    <x v="3"/>
    <x v="4"/>
    <x v="0"/>
    <x v="708"/>
    <x v="710"/>
    <x v="712"/>
    <x v="1"/>
    <x v="1"/>
    <x v="1"/>
    <x v="714"/>
    <x v="1"/>
  </r>
  <r>
    <x v="171"/>
    <x v="1"/>
    <x v="1"/>
    <x v="6"/>
    <x v="8"/>
    <x v="709"/>
    <x v="711"/>
    <x v="713"/>
    <x v="1"/>
    <x v="1"/>
    <x v="1"/>
    <x v="715"/>
    <x v="1"/>
  </r>
  <r>
    <x v="58"/>
    <x v="4"/>
    <x v="1"/>
    <x v="5"/>
    <x v="3"/>
    <x v="710"/>
    <x v="712"/>
    <x v="714"/>
    <x v="1"/>
    <x v="1"/>
    <x v="1"/>
    <x v="716"/>
    <x v="1"/>
  </r>
  <r>
    <x v="86"/>
    <x v="0"/>
    <x v="0"/>
    <x v="5"/>
    <x v="1"/>
    <x v="711"/>
    <x v="713"/>
    <x v="715"/>
    <x v="1"/>
    <x v="1"/>
    <x v="1"/>
    <x v="717"/>
    <x v="1"/>
  </r>
  <r>
    <x v="90"/>
    <x v="2"/>
    <x v="1"/>
    <x v="7"/>
    <x v="3"/>
    <x v="712"/>
    <x v="714"/>
    <x v="716"/>
    <x v="1"/>
    <x v="1"/>
    <x v="1"/>
    <x v="718"/>
    <x v="1"/>
  </r>
  <r>
    <x v="118"/>
    <x v="1"/>
    <x v="2"/>
    <x v="4"/>
    <x v="2"/>
    <x v="713"/>
    <x v="715"/>
    <x v="717"/>
    <x v="1"/>
    <x v="1"/>
    <x v="1"/>
    <x v="719"/>
    <x v="1"/>
  </r>
  <r>
    <x v="123"/>
    <x v="3"/>
    <x v="1"/>
    <x v="1"/>
    <x v="6"/>
    <x v="714"/>
    <x v="716"/>
    <x v="718"/>
    <x v="1"/>
    <x v="1"/>
    <x v="1"/>
    <x v="720"/>
    <x v="1"/>
  </r>
  <r>
    <x v="137"/>
    <x v="1"/>
    <x v="1"/>
    <x v="3"/>
    <x v="9"/>
    <x v="715"/>
    <x v="717"/>
    <x v="719"/>
    <x v="1"/>
    <x v="1"/>
    <x v="1"/>
    <x v="721"/>
    <x v="1"/>
  </r>
  <r>
    <x v="41"/>
    <x v="3"/>
    <x v="0"/>
    <x v="1"/>
    <x v="3"/>
    <x v="716"/>
    <x v="718"/>
    <x v="720"/>
    <x v="1"/>
    <x v="1"/>
    <x v="1"/>
    <x v="722"/>
    <x v="1"/>
  </r>
  <r>
    <x v="4"/>
    <x v="2"/>
    <x v="0"/>
    <x v="4"/>
    <x v="5"/>
    <x v="717"/>
    <x v="719"/>
    <x v="721"/>
    <x v="1"/>
    <x v="1"/>
    <x v="1"/>
    <x v="723"/>
    <x v="1"/>
  </r>
  <r>
    <x v="75"/>
    <x v="5"/>
    <x v="3"/>
    <x v="1"/>
    <x v="2"/>
    <x v="718"/>
    <x v="720"/>
    <x v="722"/>
    <x v="1"/>
    <x v="1"/>
    <x v="1"/>
    <x v="724"/>
    <x v="1"/>
  </r>
  <r>
    <x v="29"/>
    <x v="6"/>
    <x v="1"/>
    <x v="5"/>
    <x v="8"/>
    <x v="719"/>
    <x v="721"/>
    <x v="723"/>
    <x v="1"/>
    <x v="1"/>
    <x v="1"/>
    <x v="725"/>
    <x v="1"/>
  </r>
  <r>
    <x v="95"/>
    <x v="3"/>
    <x v="0"/>
    <x v="5"/>
    <x v="6"/>
    <x v="720"/>
    <x v="722"/>
    <x v="724"/>
    <x v="1"/>
    <x v="1"/>
    <x v="1"/>
    <x v="726"/>
    <x v="1"/>
  </r>
  <r>
    <x v="61"/>
    <x v="3"/>
    <x v="3"/>
    <x v="2"/>
    <x v="5"/>
    <x v="721"/>
    <x v="723"/>
    <x v="725"/>
    <x v="1"/>
    <x v="1"/>
    <x v="1"/>
    <x v="727"/>
    <x v="1"/>
  </r>
  <r>
    <x v="160"/>
    <x v="1"/>
    <x v="3"/>
    <x v="5"/>
    <x v="1"/>
    <x v="722"/>
    <x v="724"/>
    <x v="726"/>
    <x v="1"/>
    <x v="1"/>
    <x v="1"/>
    <x v="728"/>
    <x v="1"/>
  </r>
  <r>
    <x v="152"/>
    <x v="5"/>
    <x v="1"/>
    <x v="2"/>
    <x v="3"/>
    <x v="723"/>
    <x v="725"/>
    <x v="727"/>
    <x v="1"/>
    <x v="1"/>
    <x v="1"/>
    <x v="729"/>
    <x v="1"/>
  </r>
  <r>
    <x v="55"/>
    <x v="1"/>
    <x v="0"/>
    <x v="4"/>
    <x v="3"/>
    <x v="724"/>
    <x v="726"/>
    <x v="728"/>
    <x v="1"/>
    <x v="1"/>
    <x v="1"/>
    <x v="730"/>
    <x v="1"/>
  </r>
  <r>
    <x v="161"/>
    <x v="6"/>
    <x v="0"/>
    <x v="4"/>
    <x v="3"/>
    <x v="725"/>
    <x v="727"/>
    <x v="729"/>
    <x v="1"/>
    <x v="1"/>
    <x v="1"/>
    <x v="731"/>
    <x v="1"/>
  </r>
  <r>
    <x v="175"/>
    <x v="0"/>
    <x v="0"/>
    <x v="4"/>
    <x v="4"/>
    <x v="726"/>
    <x v="728"/>
    <x v="730"/>
    <x v="1"/>
    <x v="1"/>
    <x v="1"/>
    <x v="732"/>
    <x v="1"/>
  </r>
  <r>
    <x v="106"/>
    <x v="0"/>
    <x v="3"/>
    <x v="4"/>
    <x v="9"/>
    <x v="727"/>
    <x v="729"/>
    <x v="731"/>
    <x v="1"/>
    <x v="1"/>
    <x v="1"/>
    <x v="733"/>
    <x v="1"/>
  </r>
  <r>
    <x v="61"/>
    <x v="2"/>
    <x v="1"/>
    <x v="0"/>
    <x v="2"/>
    <x v="728"/>
    <x v="730"/>
    <x v="732"/>
    <x v="1"/>
    <x v="1"/>
    <x v="1"/>
    <x v="734"/>
    <x v="1"/>
  </r>
  <r>
    <x v="138"/>
    <x v="2"/>
    <x v="0"/>
    <x v="3"/>
    <x v="3"/>
    <x v="729"/>
    <x v="731"/>
    <x v="733"/>
    <x v="1"/>
    <x v="1"/>
    <x v="1"/>
    <x v="735"/>
    <x v="1"/>
  </r>
  <r>
    <x v="154"/>
    <x v="0"/>
    <x v="2"/>
    <x v="7"/>
    <x v="8"/>
    <x v="730"/>
    <x v="732"/>
    <x v="734"/>
    <x v="1"/>
    <x v="1"/>
    <x v="1"/>
    <x v="736"/>
    <x v="1"/>
  </r>
  <r>
    <x v="39"/>
    <x v="6"/>
    <x v="3"/>
    <x v="3"/>
    <x v="6"/>
    <x v="731"/>
    <x v="733"/>
    <x v="735"/>
    <x v="1"/>
    <x v="1"/>
    <x v="1"/>
    <x v="737"/>
    <x v="1"/>
  </r>
  <r>
    <x v="3"/>
    <x v="4"/>
    <x v="2"/>
    <x v="4"/>
    <x v="6"/>
    <x v="732"/>
    <x v="734"/>
    <x v="736"/>
    <x v="1"/>
    <x v="1"/>
    <x v="1"/>
    <x v="738"/>
    <x v="1"/>
  </r>
  <r>
    <x v="100"/>
    <x v="1"/>
    <x v="3"/>
    <x v="4"/>
    <x v="2"/>
    <x v="733"/>
    <x v="735"/>
    <x v="737"/>
    <x v="1"/>
    <x v="1"/>
    <x v="1"/>
    <x v="739"/>
    <x v="1"/>
  </r>
  <r>
    <x v="82"/>
    <x v="4"/>
    <x v="2"/>
    <x v="5"/>
    <x v="2"/>
    <x v="734"/>
    <x v="736"/>
    <x v="738"/>
    <x v="1"/>
    <x v="1"/>
    <x v="1"/>
    <x v="740"/>
    <x v="1"/>
  </r>
  <r>
    <x v="113"/>
    <x v="0"/>
    <x v="2"/>
    <x v="4"/>
    <x v="5"/>
    <x v="735"/>
    <x v="737"/>
    <x v="739"/>
    <x v="1"/>
    <x v="1"/>
    <x v="1"/>
    <x v="741"/>
    <x v="1"/>
  </r>
  <r>
    <x v="18"/>
    <x v="2"/>
    <x v="0"/>
    <x v="6"/>
    <x v="8"/>
    <x v="736"/>
    <x v="738"/>
    <x v="740"/>
    <x v="1"/>
    <x v="1"/>
    <x v="1"/>
    <x v="742"/>
    <x v="1"/>
  </r>
  <r>
    <x v="132"/>
    <x v="2"/>
    <x v="2"/>
    <x v="1"/>
    <x v="7"/>
    <x v="737"/>
    <x v="739"/>
    <x v="741"/>
    <x v="1"/>
    <x v="1"/>
    <x v="1"/>
    <x v="743"/>
    <x v="1"/>
  </r>
  <r>
    <x v="137"/>
    <x v="5"/>
    <x v="2"/>
    <x v="6"/>
    <x v="4"/>
    <x v="738"/>
    <x v="740"/>
    <x v="742"/>
    <x v="1"/>
    <x v="1"/>
    <x v="1"/>
    <x v="744"/>
    <x v="1"/>
  </r>
  <r>
    <x v="120"/>
    <x v="4"/>
    <x v="0"/>
    <x v="5"/>
    <x v="0"/>
    <x v="739"/>
    <x v="741"/>
    <x v="743"/>
    <x v="1"/>
    <x v="1"/>
    <x v="1"/>
    <x v="745"/>
    <x v="1"/>
  </r>
  <r>
    <x v="27"/>
    <x v="0"/>
    <x v="3"/>
    <x v="5"/>
    <x v="2"/>
    <x v="740"/>
    <x v="742"/>
    <x v="744"/>
    <x v="1"/>
    <x v="1"/>
    <x v="1"/>
    <x v="746"/>
    <x v="1"/>
  </r>
  <r>
    <x v="38"/>
    <x v="2"/>
    <x v="0"/>
    <x v="6"/>
    <x v="2"/>
    <x v="741"/>
    <x v="743"/>
    <x v="745"/>
    <x v="1"/>
    <x v="1"/>
    <x v="1"/>
    <x v="747"/>
    <x v="1"/>
  </r>
  <r>
    <x v="12"/>
    <x v="4"/>
    <x v="2"/>
    <x v="4"/>
    <x v="7"/>
    <x v="742"/>
    <x v="744"/>
    <x v="746"/>
    <x v="1"/>
    <x v="1"/>
    <x v="1"/>
    <x v="748"/>
    <x v="1"/>
  </r>
  <r>
    <x v="86"/>
    <x v="5"/>
    <x v="1"/>
    <x v="7"/>
    <x v="0"/>
    <x v="743"/>
    <x v="745"/>
    <x v="747"/>
    <x v="1"/>
    <x v="1"/>
    <x v="1"/>
    <x v="749"/>
    <x v="1"/>
  </r>
  <r>
    <x v="137"/>
    <x v="4"/>
    <x v="0"/>
    <x v="6"/>
    <x v="9"/>
    <x v="744"/>
    <x v="746"/>
    <x v="748"/>
    <x v="1"/>
    <x v="1"/>
    <x v="1"/>
    <x v="750"/>
    <x v="1"/>
  </r>
  <r>
    <x v="138"/>
    <x v="5"/>
    <x v="1"/>
    <x v="3"/>
    <x v="1"/>
    <x v="745"/>
    <x v="747"/>
    <x v="749"/>
    <x v="1"/>
    <x v="1"/>
    <x v="1"/>
    <x v="751"/>
    <x v="1"/>
  </r>
  <r>
    <x v="78"/>
    <x v="0"/>
    <x v="0"/>
    <x v="1"/>
    <x v="0"/>
    <x v="746"/>
    <x v="748"/>
    <x v="750"/>
    <x v="1"/>
    <x v="1"/>
    <x v="1"/>
    <x v="752"/>
    <x v="1"/>
  </r>
  <r>
    <x v="126"/>
    <x v="6"/>
    <x v="3"/>
    <x v="2"/>
    <x v="5"/>
    <x v="747"/>
    <x v="749"/>
    <x v="751"/>
    <x v="1"/>
    <x v="1"/>
    <x v="1"/>
    <x v="753"/>
    <x v="1"/>
  </r>
  <r>
    <x v="116"/>
    <x v="0"/>
    <x v="2"/>
    <x v="6"/>
    <x v="5"/>
    <x v="748"/>
    <x v="750"/>
    <x v="752"/>
    <x v="1"/>
    <x v="1"/>
    <x v="1"/>
    <x v="754"/>
    <x v="1"/>
  </r>
  <r>
    <x v="126"/>
    <x v="5"/>
    <x v="2"/>
    <x v="4"/>
    <x v="6"/>
    <x v="749"/>
    <x v="751"/>
    <x v="753"/>
    <x v="1"/>
    <x v="1"/>
    <x v="1"/>
    <x v="755"/>
    <x v="1"/>
  </r>
  <r>
    <x v="58"/>
    <x v="6"/>
    <x v="1"/>
    <x v="6"/>
    <x v="0"/>
    <x v="750"/>
    <x v="752"/>
    <x v="754"/>
    <x v="1"/>
    <x v="1"/>
    <x v="1"/>
    <x v="756"/>
    <x v="1"/>
  </r>
  <r>
    <x v="77"/>
    <x v="6"/>
    <x v="1"/>
    <x v="6"/>
    <x v="9"/>
    <x v="751"/>
    <x v="753"/>
    <x v="755"/>
    <x v="1"/>
    <x v="1"/>
    <x v="1"/>
    <x v="757"/>
    <x v="1"/>
  </r>
  <r>
    <x v="162"/>
    <x v="1"/>
    <x v="2"/>
    <x v="2"/>
    <x v="8"/>
    <x v="752"/>
    <x v="754"/>
    <x v="756"/>
    <x v="1"/>
    <x v="1"/>
    <x v="1"/>
    <x v="758"/>
    <x v="1"/>
  </r>
  <r>
    <x v="43"/>
    <x v="4"/>
    <x v="2"/>
    <x v="4"/>
    <x v="2"/>
    <x v="753"/>
    <x v="755"/>
    <x v="757"/>
    <x v="1"/>
    <x v="1"/>
    <x v="1"/>
    <x v="759"/>
    <x v="1"/>
  </r>
  <r>
    <x v="60"/>
    <x v="4"/>
    <x v="3"/>
    <x v="6"/>
    <x v="1"/>
    <x v="754"/>
    <x v="756"/>
    <x v="758"/>
    <x v="1"/>
    <x v="1"/>
    <x v="1"/>
    <x v="760"/>
    <x v="1"/>
  </r>
  <r>
    <x v="165"/>
    <x v="3"/>
    <x v="0"/>
    <x v="1"/>
    <x v="8"/>
    <x v="755"/>
    <x v="757"/>
    <x v="759"/>
    <x v="1"/>
    <x v="1"/>
    <x v="1"/>
    <x v="761"/>
    <x v="1"/>
  </r>
  <r>
    <x v="53"/>
    <x v="3"/>
    <x v="3"/>
    <x v="5"/>
    <x v="2"/>
    <x v="756"/>
    <x v="758"/>
    <x v="760"/>
    <x v="1"/>
    <x v="1"/>
    <x v="1"/>
    <x v="762"/>
    <x v="1"/>
  </r>
  <r>
    <x v="80"/>
    <x v="2"/>
    <x v="3"/>
    <x v="5"/>
    <x v="9"/>
    <x v="757"/>
    <x v="759"/>
    <x v="761"/>
    <x v="1"/>
    <x v="1"/>
    <x v="1"/>
    <x v="763"/>
    <x v="1"/>
  </r>
  <r>
    <x v="8"/>
    <x v="3"/>
    <x v="1"/>
    <x v="1"/>
    <x v="9"/>
    <x v="758"/>
    <x v="760"/>
    <x v="762"/>
    <x v="1"/>
    <x v="1"/>
    <x v="1"/>
    <x v="764"/>
    <x v="1"/>
  </r>
  <r>
    <x v="3"/>
    <x v="5"/>
    <x v="3"/>
    <x v="3"/>
    <x v="1"/>
    <x v="759"/>
    <x v="761"/>
    <x v="763"/>
    <x v="1"/>
    <x v="1"/>
    <x v="1"/>
    <x v="765"/>
    <x v="1"/>
  </r>
  <r>
    <x v="93"/>
    <x v="4"/>
    <x v="0"/>
    <x v="0"/>
    <x v="9"/>
    <x v="760"/>
    <x v="762"/>
    <x v="764"/>
    <x v="1"/>
    <x v="1"/>
    <x v="1"/>
    <x v="766"/>
    <x v="1"/>
  </r>
  <r>
    <x v="145"/>
    <x v="2"/>
    <x v="0"/>
    <x v="3"/>
    <x v="4"/>
    <x v="761"/>
    <x v="763"/>
    <x v="765"/>
    <x v="1"/>
    <x v="1"/>
    <x v="1"/>
    <x v="767"/>
    <x v="1"/>
  </r>
  <r>
    <x v="153"/>
    <x v="0"/>
    <x v="3"/>
    <x v="5"/>
    <x v="3"/>
    <x v="762"/>
    <x v="764"/>
    <x v="766"/>
    <x v="1"/>
    <x v="1"/>
    <x v="1"/>
    <x v="768"/>
    <x v="1"/>
  </r>
  <r>
    <x v="17"/>
    <x v="0"/>
    <x v="1"/>
    <x v="2"/>
    <x v="7"/>
    <x v="763"/>
    <x v="765"/>
    <x v="767"/>
    <x v="1"/>
    <x v="1"/>
    <x v="1"/>
    <x v="769"/>
    <x v="1"/>
  </r>
  <r>
    <x v="118"/>
    <x v="2"/>
    <x v="0"/>
    <x v="2"/>
    <x v="0"/>
    <x v="764"/>
    <x v="766"/>
    <x v="768"/>
    <x v="1"/>
    <x v="1"/>
    <x v="1"/>
    <x v="770"/>
    <x v="1"/>
  </r>
  <r>
    <x v="152"/>
    <x v="2"/>
    <x v="1"/>
    <x v="0"/>
    <x v="5"/>
    <x v="765"/>
    <x v="767"/>
    <x v="769"/>
    <x v="1"/>
    <x v="1"/>
    <x v="1"/>
    <x v="771"/>
    <x v="1"/>
  </r>
  <r>
    <x v="104"/>
    <x v="3"/>
    <x v="0"/>
    <x v="0"/>
    <x v="4"/>
    <x v="766"/>
    <x v="768"/>
    <x v="770"/>
    <x v="1"/>
    <x v="1"/>
    <x v="1"/>
    <x v="772"/>
    <x v="1"/>
  </r>
  <r>
    <x v="17"/>
    <x v="3"/>
    <x v="2"/>
    <x v="5"/>
    <x v="5"/>
    <x v="767"/>
    <x v="769"/>
    <x v="771"/>
    <x v="1"/>
    <x v="1"/>
    <x v="1"/>
    <x v="773"/>
    <x v="1"/>
  </r>
  <r>
    <x v="161"/>
    <x v="0"/>
    <x v="1"/>
    <x v="4"/>
    <x v="6"/>
    <x v="768"/>
    <x v="770"/>
    <x v="772"/>
    <x v="1"/>
    <x v="1"/>
    <x v="1"/>
    <x v="774"/>
    <x v="1"/>
  </r>
  <r>
    <x v="55"/>
    <x v="0"/>
    <x v="0"/>
    <x v="0"/>
    <x v="4"/>
    <x v="769"/>
    <x v="771"/>
    <x v="773"/>
    <x v="1"/>
    <x v="1"/>
    <x v="1"/>
    <x v="775"/>
    <x v="1"/>
  </r>
  <r>
    <x v="101"/>
    <x v="3"/>
    <x v="2"/>
    <x v="7"/>
    <x v="4"/>
    <x v="770"/>
    <x v="772"/>
    <x v="774"/>
    <x v="1"/>
    <x v="1"/>
    <x v="1"/>
    <x v="776"/>
    <x v="1"/>
  </r>
  <r>
    <x v="132"/>
    <x v="5"/>
    <x v="1"/>
    <x v="3"/>
    <x v="7"/>
    <x v="771"/>
    <x v="773"/>
    <x v="775"/>
    <x v="1"/>
    <x v="1"/>
    <x v="1"/>
    <x v="777"/>
    <x v="1"/>
  </r>
  <r>
    <x v="65"/>
    <x v="1"/>
    <x v="1"/>
    <x v="1"/>
    <x v="3"/>
    <x v="772"/>
    <x v="774"/>
    <x v="776"/>
    <x v="1"/>
    <x v="1"/>
    <x v="1"/>
    <x v="778"/>
    <x v="1"/>
  </r>
  <r>
    <x v="22"/>
    <x v="6"/>
    <x v="2"/>
    <x v="2"/>
    <x v="1"/>
    <x v="773"/>
    <x v="775"/>
    <x v="777"/>
    <x v="1"/>
    <x v="1"/>
    <x v="1"/>
    <x v="779"/>
    <x v="1"/>
  </r>
  <r>
    <x v="110"/>
    <x v="6"/>
    <x v="2"/>
    <x v="3"/>
    <x v="5"/>
    <x v="774"/>
    <x v="776"/>
    <x v="778"/>
    <x v="1"/>
    <x v="1"/>
    <x v="1"/>
    <x v="780"/>
    <x v="1"/>
  </r>
  <r>
    <x v="38"/>
    <x v="0"/>
    <x v="0"/>
    <x v="1"/>
    <x v="8"/>
    <x v="775"/>
    <x v="777"/>
    <x v="779"/>
    <x v="1"/>
    <x v="1"/>
    <x v="1"/>
    <x v="781"/>
    <x v="1"/>
  </r>
  <r>
    <x v="104"/>
    <x v="4"/>
    <x v="3"/>
    <x v="2"/>
    <x v="7"/>
    <x v="776"/>
    <x v="778"/>
    <x v="780"/>
    <x v="1"/>
    <x v="1"/>
    <x v="1"/>
    <x v="782"/>
    <x v="1"/>
  </r>
  <r>
    <x v="118"/>
    <x v="5"/>
    <x v="2"/>
    <x v="3"/>
    <x v="2"/>
    <x v="777"/>
    <x v="779"/>
    <x v="781"/>
    <x v="1"/>
    <x v="1"/>
    <x v="1"/>
    <x v="783"/>
    <x v="1"/>
  </r>
  <r>
    <x v="158"/>
    <x v="1"/>
    <x v="0"/>
    <x v="3"/>
    <x v="4"/>
    <x v="778"/>
    <x v="780"/>
    <x v="782"/>
    <x v="1"/>
    <x v="1"/>
    <x v="1"/>
    <x v="784"/>
    <x v="1"/>
  </r>
  <r>
    <x v="102"/>
    <x v="0"/>
    <x v="1"/>
    <x v="0"/>
    <x v="8"/>
    <x v="779"/>
    <x v="781"/>
    <x v="783"/>
    <x v="1"/>
    <x v="1"/>
    <x v="1"/>
    <x v="785"/>
    <x v="1"/>
  </r>
  <r>
    <x v="31"/>
    <x v="2"/>
    <x v="0"/>
    <x v="5"/>
    <x v="5"/>
    <x v="780"/>
    <x v="782"/>
    <x v="784"/>
    <x v="1"/>
    <x v="1"/>
    <x v="1"/>
    <x v="786"/>
    <x v="1"/>
  </r>
  <r>
    <x v="73"/>
    <x v="5"/>
    <x v="3"/>
    <x v="2"/>
    <x v="9"/>
    <x v="781"/>
    <x v="783"/>
    <x v="785"/>
    <x v="1"/>
    <x v="1"/>
    <x v="1"/>
    <x v="787"/>
    <x v="1"/>
  </r>
  <r>
    <x v="140"/>
    <x v="5"/>
    <x v="1"/>
    <x v="1"/>
    <x v="3"/>
    <x v="782"/>
    <x v="784"/>
    <x v="786"/>
    <x v="1"/>
    <x v="1"/>
    <x v="1"/>
    <x v="788"/>
    <x v="1"/>
  </r>
  <r>
    <x v="145"/>
    <x v="4"/>
    <x v="3"/>
    <x v="6"/>
    <x v="2"/>
    <x v="783"/>
    <x v="785"/>
    <x v="787"/>
    <x v="1"/>
    <x v="1"/>
    <x v="1"/>
    <x v="789"/>
    <x v="1"/>
  </r>
  <r>
    <x v="2"/>
    <x v="1"/>
    <x v="0"/>
    <x v="2"/>
    <x v="5"/>
    <x v="784"/>
    <x v="786"/>
    <x v="788"/>
    <x v="1"/>
    <x v="1"/>
    <x v="1"/>
    <x v="790"/>
    <x v="1"/>
  </r>
  <r>
    <x v="172"/>
    <x v="6"/>
    <x v="3"/>
    <x v="6"/>
    <x v="1"/>
    <x v="785"/>
    <x v="787"/>
    <x v="789"/>
    <x v="1"/>
    <x v="1"/>
    <x v="1"/>
    <x v="791"/>
    <x v="1"/>
  </r>
  <r>
    <x v="8"/>
    <x v="0"/>
    <x v="1"/>
    <x v="0"/>
    <x v="7"/>
    <x v="786"/>
    <x v="788"/>
    <x v="503"/>
    <x v="1"/>
    <x v="1"/>
    <x v="1"/>
    <x v="792"/>
    <x v="1"/>
  </r>
  <r>
    <x v="67"/>
    <x v="1"/>
    <x v="3"/>
    <x v="1"/>
    <x v="5"/>
    <x v="787"/>
    <x v="789"/>
    <x v="790"/>
    <x v="1"/>
    <x v="1"/>
    <x v="1"/>
    <x v="793"/>
    <x v="1"/>
  </r>
  <r>
    <x v="175"/>
    <x v="6"/>
    <x v="1"/>
    <x v="5"/>
    <x v="3"/>
    <x v="788"/>
    <x v="790"/>
    <x v="791"/>
    <x v="1"/>
    <x v="1"/>
    <x v="1"/>
    <x v="794"/>
    <x v="1"/>
  </r>
  <r>
    <x v="20"/>
    <x v="5"/>
    <x v="3"/>
    <x v="7"/>
    <x v="9"/>
    <x v="789"/>
    <x v="791"/>
    <x v="792"/>
    <x v="1"/>
    <x v="1"/>
    <x v="1"/>
    <x v="795"/>
    <x v="1"/>
  </r>
  <r>
    <x v="135"/>
    <x v="4"/>
    <x v="3"/>
    <x v="6"/>
    <x v="5"/>
    <x v="790"/>
    <x v="792"/>
    <x v="793"/>
    <x v="1"/>
    <x v="1"/>
    <x v="1"/>
    <x v="796"/>
    <x v="1"/>
  </r>
  <r>
    <x v="4"/>
    <x v="4"/>
    <x v="2"/>
    <x v="4"/>
    <x v="7"/>
    <x v="791"/>
    <x v="793"/>
    <x v="794"/>
    <x v="1"/>
    <x v="1"/>
    <x v="1"/>
    <x v="797"/>
    <x v="1"/>
  </r>
  <r>
    <x v="121"/>
    <x v="6"/>
    <x v="3"/>
    <x v="5"/>
    <x v="2"/>
    <x v="792"/>
    <x v="794"/>
    <x v="795"/>
    <x v="1"/>
    <x v="1"/>
    <x v="1"/>
    <x v="798"/>
    <x v="1"/>
  </r>
  <r>
    <x v="179"/>
    <x v="3"/>
    <x v="3"/>
    <x v="2"/>
    <x v="0"/>
    <x v="793"/>
    <x v="795"/>
    <x v="796"/>
    <x v="1"/>
    <x v="1"/>
    <x v="1"/>
    <x v="799"/>
    <x v="1"/>
  </r>
  <r>
    <x v="47"/>
    <x v="2"/>
    <x v="0"/>
    <x v="5"/>
    <x v="2"/>
    <x v="794"/>
    <x v="796"/>
    <x v="797"/>
    <x v="1"/>
    <x v="1"/>
    <x v="1"/>
    <x v="800"/>
    <x v="1"/>
  </r>
  <r>
    <x v="102"/>
    <x v="5"/>
    <x v="2"/>
    <x v="5"/>
    <x v="7"/>
    <x v="795"/>
    <x v="797"/>
    <x v="798"/>
    <x v="1"/>
    <x v="1"/>
    <x v="1"/>
    <x v="801"/>
    <x v="1"/>
  </r>
  <r>
    <x v="28"/>
    <x v="0"/>
    <x v="3"/>
    <x v="2"/>
    <x v="6"/>
    <x v="796"/>
    <x v="798"/>
    <x v="799"/>
    <x v="1"/>
    <x v="1"/>
    <x v="1"/>
    <x v="802"/>
    <x v="1"/>
  </r>
  <r>
    <x v="89"/>
    <x v="2"/>
    <x v="2"/>
    <x v="5"/>
    <x v="6"/>
    <x v="797"/>
    <x v="32"/>
    <x v="800"/>
    <x v="1"/>
    <x v="1"/>
    <x v="1"/>
    <x v="803"/>
    <x v="1"/>
  </r>
  <r>
    <x v="98"/>
    <x v="0"/>
    <x v="2"/>
    <x v="3"/>
    <x v="0"/>
    <x v="798"/>
    <x v="799"/>
    <x v="801"/>
    <x v="1"/>
    <x v="1"/>
    <x v="1"/>
    <x v="804"/>
    <x v="1"/>
  </r>
  <r>
    <x v="56"/>
    <x v="5"/>
    <x v="2"/>
    <x v="5"/>
    <x v="6"/>
    <x v="799"/>
    <x v="800"/>
    <x v="802"/>
    <x v="1"/>
    <x v="1"/>
    <x v="1"/>
    <x v="805"/>
    <x v="1"/>
  </r>
  <r>
    <x v="79"/>
    <x v="1"/>
    <x v="2"/>
    <x v="3"/>
    <x v="9"/>
    <x v="800"/>
    <x v="801"/>
    <x v="803"/>
    <x v="1"/>
    <x v="1"/>
    <x v="1"/>
    <x v="806"/>
    <x v="1"/>
  </r>
  <r>
    <x v="43"/>
    <x v="3"/>
    <x v="2"/>
    <x v="1"/>
    <x v="8"/>
    <x v="801"/>
    <x v="802"/>
    <x v="804"/>
    <x v="1"/>
    <x v="1"/>
    <x v="1"/>
    <x v="807"/>
    <x v="1"/>
  </r>
  <r>
    <x v="135"/>
    <x v="2"/>
    <x v="0"/>
    <x v="3"/>
    <x v="7"/>
    <x v="802"/>
    <x v="803"/>
    <x v="805"/>
    <x v="1"/>
    <x v="1"/>
    <x v="1"/>
    <x v="808"/>
    <x v="1"/>
  </r>
  <r>
    <x v="51"/>
    <x v="3"/>
    <x v="0"/>
    <x v="2"/>
    <x v="9"/>
    <x v="803"/>
    <x v="804"/>
    <x v="806"/>
    <x v="1"/>
    <x v="1"/>
    <x v="1"/>
    <x v="809"/>
    <x v="1"/>
  </r>
  <r>
    <x v="141"/>
    <x v="1"/>
    <x v="0"/>
    <x v="1"/>
    <x v="2"/>
    <x v="804"/>
    <x v="805"/>
    <x v="807"/>
    <x v="1"/>
    <x v="1"/>
    <x v="1"/>
    <x v="810"/>
    <x v="1"/>
  </r>
  <r>
    <x v="107"/>
    <x v="1"/>
    <x v="0"/>
    <x v="5"/>
    <x v="7"/>
    <x v="805"/>
    <x v="806"/>
    <x v="808"/>
    <x v="1"/>
    <x v="1"/>
    <x v="1"/>
    <x v="811"/>
    <x v="1"/>
  </r>
  <r>
    <x v="47"/>
    <x v="6"/>
    <x v="0"/>
    <x v="1"/>
    <x v="5"/>
    <x v="806"/>
    <x v="807"/>
    <x v="809"/>
    <x v="1"/>
    <x v="1"/>
    <x v="1"/>
    <x v="812"/>
    <x v="1"/>
  </r>
  <r>
    <x v="93"/>
    <x v="3"/>
    <x v="1"/>
    <x v="0"/>
    <x v="9"/>
    <x v="807"/>
    <x v="808"/>
    <x v="810"/>
    <x v="1"/>
    <x v="1"/>
    <x v="1"/>
    <x v="813"/>
    <x v="1"/>
  </r>
  <r>
    <x v="113"/>
    <x v="6"/>
    <x v="2"/>
    <x v="5"/>
    <x v="1"/>
    <x v="808"/>
    <x v="809"/>
    <x v="811"/>
    <x v="1"/>
    <x v="1"/>
    <x v="1"/>
    <x v="814"/>
    <x v="1"/>
  </r>
  <r>
    <x v="57"/>
    <x v="1"/>
    <x v="3"/>
    <x v="0"/>
    <x v="8"/>
    <x v="809"/>
    <x v="810"/>
    <x v="812"/>
    <x v="1"/>
    <x v="1"/>
    <x v="1"/>
    <x v="815"/>
    <x v="1"/>
  </r>
  <r>
    <x v="49"/>
    <x v="6"/>
    <x v="2"/>
    <x v="5"/>
    <x v="6"/>
    <x v="810"/>
    <x v="811"/>
    <x v="813"/>
    <x v="1"/>
    <x v="1"/>
    <x v="1"/>
    <x v="816"/>
    <x v="1"/>
  </r>
  <r>
    <x v="18"/>
    <x v="5"/>
    <x v="2"/>
    <x v="3"/>
    <x v="3"/>
    <x v="811"/>
    <x v="812"/>
    <x v="814"/>
    <x v="1"/>
    <x v="1"/>
    <x v="1"/>
    <x v="817"/>
    <x v="1"/>
  </r>
  <r>
    <x v="72"/>
    <x v="6"/>
    <x v="1"/>
    <x v="5"/>
    <x v="0"/>
    <x v="812"/>
    <x v="813"/>
    <x v="815"/>
    <x v="1"/>
    <x v="1"/>
    <x v="1"/>
    <x v="818"/>
    <x v="1"/>
  </r>
  <r>
    <x v="147"/>
    <x v="6"/>
    <x v="0"/>
    <x v="4"/>
    <x v="4"/>
    <x v="813"/>
    <x v="814"/>
    <x v="816"/>
    <x v="1"/>
    <x v="1"/>
    <x v="1"/>
    <x v="819"/>
    <x v="1"/>
  </r>
  <r>
    <x v="149"/>
    <x v="6"/>
    <x v="3"/>
    <x v="4"/>
    <x v="4"/>
    <x v="814"/>
    <x v="815"/>
    <x v="817"/>
    <x v="1"/>
    <x v="1"/>
    <x v="1"/>
    <x v="820"/>
    <x v="1"/>
  </r>
  <r>
    <x v="176"/>
    <x v="6"/>
    <x v="1"/>
    <x v="1"/>
    <x v="8"/>
    <x v="815"/>
    <x v="816"/>
    <x v="818"/>
    <x v="1"/>
    <x v="1"/>
    <x v="1"/>
    <x v="821"/>
    <x v="1"/>
  </r>
  <r>
    <x v="38"/>
    <x v="3"/>
    <x v="2"/>
    <x v="7"/>
    <x v="3"/>
    <x v="816"/>
    <x v="817"/>
    <x v="819"/>
    <x v="1"/>
    <x v="1"/>
    <x v="1"/>
    <x v="822"/>
    <x v="1"/>
  </r>
  <r>
    <x v="56"/>
    <x v="2"/>
    <x v="2"/>
    <x v="0"/>
    <x v="6"/>
    <x v="817"/>
    <x v="818"/>
    <x v="820"/>
    <x v="1"/>
    <x v="1"/>
    <x v="1"/>
    <x v="823"/>
    <x v="1"/>
  </r>
  <r>
    <x v="44"/>
    <x v="4"/>
    <x v="1"/>
    <x v="0"/>
    <x v="7"/>
    <x v="818"/>
    <x v="819"/>
    <x v="821"/>
    <x v="1"/>
    <x v="1"/>
    <x v="1"/>
    <x v="824"/>
    <x v="1"/>
  </r>
  <r>
    <x v="96"/>
    <x v="3"/>
    <x v="3"/>
    <x v="4"/>
    <x v="3"/>
    <x v="819"/>
    <x v="820"/>
    <x v="822"/>
    <x v="1"/>
    <x v="1"/>
    <x v="1"/>
    <x v="825"/>
    <x v="1"/>
  </r>
  <r>
    <x v="143"/>
    <x v="3"/>
    <x v="3"/>
    <x v="0"/>
    <x v="2"/>
    <x v="820"/>
    <x v="821"/>
    <x v="823"/>
    <x v="1"/>
    <x v="1"/>
    <x v="1"/>
    <x v="826"/>
    <x v="1"/>
  </r>
  <r>
    <x v="162"/>
    <x v="4"/>
    <x v="1"/>
    <x v="6"/>
    <x v="2"/>
    <x v="140"/>
    <x v="822"/>
    <x v="824"/>
    <x v="1"/>
    <x v="1"/>
    <x v="1"/>
    <x v="827"/>
    <x v="1"/>
  </r>
  <r>
    <x v="82"/>
    <x v="3"/>
    <x v="0"/>
    <x v="5"/>
    <x v="2"/>
    <x v="821"/>
    <x v="823"/>
    <x v="825"/>
    <x v="1"/>
    <x v="1"/>
    <x v="1"/>
    <x v="828"/>
    <x v="1"/>
  </r>
  <r>
    <x v="16"/>
    <x v="1"/>
    <x v="0"/>
    <x v="0"/>
    <x v="9"/>
    <x v="822"/>
    <x v="824"/>
    <x v="826"/>
    <x v="1"/>
    <x v="1"/>
    <x v="1"/>
    <x v="829"/>
    <x v="1"/>
  </r>
  <r>
    <x v="31"/>
    <x v="3"/>
    <x v="0"/>
    <x v="0"/>
    <x v="6"/>
    <x v="823"/>
    <x v="825"/>
    <x v="827"/>
    <x v="1"/>
    <x v="1"/>
    <x v="1"/>
    <x v="830"/>
    <x v="1"/>
  </r>
  <r>
    <x v="4"/>
    <x v="2"/>
    <x v="0"/>
    <x v="7"/>
    <x v="4"/>
    <x v="824"/>
    <x v="826"/>
    <x v="828"/>
    <x v="1"/>
    <x v="1"/>
    <x v="1"/>
    <x v="831"/>
    <x v="1"/>
  </r>
  <r>
    <x v="62"/>
    <x v="3"/>
    <x v="2"/>
    <x v="4"/>
    <x v="2"/>
    <x v="825"/>
    <x v="827"/>
    <x v="829"/>
    <x v="1"/>
    <x v="1"/>
    <x v="1"/>
    <x v="832"/>
    <x v="1"/>
  </r>
  <r>
    <x v="136"/>
    <x v="2"/>
    <x v="1"/>
    <x v="7"/>
    <x v="8"/>
    <x v="826"/>
    <x v="828"/>
    <x v="830"/>
    <x v="1"/>
    <x v="1"/>
    <x v="1"/>
    <x v="833"/>
    <x v="1"/>
  </r>
  <r>
    <x v="27"/>
    <x v="5"/>
    <x v="1"/>
    <x v="6"/>
    <x v="4"/>
    <x v="827"/>
    <x v="829"/>
    <x v="831"/>
    <x v="1"/>
    <x v="1"/>
    <x v="1"/>
    <x v="834"/>
    <x v="1"/>
  </r>
  <r>
    <x v="68"/>
    <x v="5"/>
    <x v="2"/>
    <x v="7"/>
    <x v="8"/>
    <x v="828"/>
    <x v="830"/>
    <x v="832"/>
    <x v="1"/>
    <x v="1"/>
    <x v="1"/>
    <x v="835"/>
    <x v="1"/>
  </r>
  <r>
    <x v="6"/>
    <x v="6"/>
    <x v="0"/>
    <x v="1"/>
    <x v="6"/>
    <x v="829"/>
    <x v="831"/>
    <x v="833"/>
    <x v="1"/>
    <x v="1"/>
    <x v="1"/>
    <x v="836"/>
    <x v="1"/>
  </r>
  <r>
    <x v="149"/>
    <x v="4"/>
    <x v="0"/>
    <x v="0"/>
    <x v="5"/>
    <x v="830"/>
    <x v="832"/>
    <x v="834"/>
    <x v="1"/>
    <x v="1"/>
    <x v="1"/>
    <x v="837"/>
    <x v="1"/>
  </r>
  <r>
    <x v="62"/>
    <x v="6"/>
    <x v="0"/>
    <x v="6"/>
    <x v="1"/>
    <x v="831"/>
    <x v="833"/>
    <x v="835"/>
    <x v="1"/>
    <x v="1"/>
    <x v="1"/>
    <x v="838"/>
    <x v="1"/>
  </r>
  <r>
    <x v="151"/>
    <x v="4"/>
    <x v="2"/>
    <x v="7"/>
    <x v="4"/>
    <x v="832"/>
    <x v="834"/>
    <x v="836"/>
    <x v="1"/>
    <x v="1"/>
    <x v="1"/>
    <x v="839"/>
    <x v="1"/>
  </r>
  <r>
    <x v="56"/>
    <x v="0"/>
    <x v="2"/>
    <x v="7"/>
    <x v="3"/>
    <x v="833"/>
    <x v="835"/>
    <x v="837"/>
    <x v="1"/>
    <x v="1"/>
    <x v="1"/>
    <x v="840"/>
    <x v="1"/>
  </r>
  <r>
    <x v="141"/>
    <x v="5"/>
    <x v="3"/>
    <x v="2"/>
    <x v="3"/>
    <x v="834"/>
    <x v="836"/>
    <x v="838"/>
    <x v="1"/>
    <x v="1"/>
    <x v="1"/>
    <x v="841"/>
    <x v="1"/>
  </r>
  <r>
    <x v="177"/>
    <x v="3"/>
    <x v="2"/>
    <x v="6"/>
    <x v="7"/>
    <x v="835"/>
    <x v="837"/>
    <x v="839"/>
    <x v="1"/>
    <x v="1"/>
    <x v="1"/>
    <x v="842"/>
    <x v="1"/>
  </r>
  <r>
    <x v="70"/>
    <x v="1"/>
    <x v="2"/>
    <x v="0"/>
    <x v="7"/>
    <x v="836"/>
    <x v="838"/>
    <x v="840"/>
    <x v="1"/>
    <x v="1"/>
    <x v="1"/>
    <x v="843"/>
    <x v="1"/>
  </r>
  <r>
    <x v="50"/>
    <x v="2"/>
    <x v="2"/>
    <x v="4"/>
    <x v="7"/>
    <x v="837"/>
    <x v="839"/>
    <x v="841"/>
    <x v="1"/>
    <x v="1"/>
    <x v="1"/>
    <x v="844"/>
    <x v="1"/>
  </r>
  <r>
    <x v="132"/>
    <x v="6"/>
    <x v="3"/>
    <x v="6"/>
    <x v="5"/>
    <x v="838"/>
    <x v="840"/>
    <x v="842"/>
    <x v="1"/>
    <x v="1"/>
    <x v="1"/>
    <x v="845"/>
    <x v="1"/>
  </r>
  <r>
    <x v="25"/>
    <x v="1"/>
    <x v="3"/>
    <x v="6"/>
    <x v="4"/>
    <x v="839"/>
    <x v="841"/>
    <x v="843"/>
    <x v="1"/>
    <x v="1"/>
    <x v="1"/>
    <x v="846"/>
    <x v="1"/>
  </r>
  <r>
    <x v="74"/>
    <x v="5"/>
    <x v="3"/>
    <x v="4"/>
    <x v="3"/>
    <x v="840"/>
    <x v="842"/>
    <x v="844"/>
    <x v="1"/>
    <x v="1"/>
    <x v="1"/>
    <x v="847"/>
    <x v="1"/>
  </r>
  <r>
    <x v="50"/>
    <x v="3"/>
    <x v="0"/>
    <x v="3"/>
    <x v="0"/>
    <x v="841"/>
    <x v="843"/>
    <x v="845"/>
    <x v="1"/>
    <x v="1"/>
    <x v="1"/>
    <x v="848"/>
    <x v="1"/>
  </r>
  <r>
    <x v="98"/>
    <x v="2"/>
    <x v="0"/>
    <x v="5"/>
    <x v="7"/>
    <x v="842"/>
    <x v="844"/>
    <x v="846"/>
    <x v="1"/>
    <x v="1"/>
    <x v="1"/>
    <x v="849"/>
    <x v="1"/>
  </r>
  <r>
    <x v="149"/>
    <x v="6"/>
    <x v="0"/>
    <x v="6"/>
    <x v="2"/>
    <x v="843"/>
    <x v="845"/>
    <x v="847"/>
    <x v="1"/>
    <x v="1"/>
    <x v="1"/>
    <x v="850"/>
    <x v="1"/>
  </r>
  <r>
    <x v="94"/>
    <x v="1"/>
    <x v="2"/>
    <x v="0"/>
    <x v="6"/>
    <x v="844"/>
    <x v="846"/>
    <x v="848"/>
    <x v="1"/>
    <x v="1"/>
    <x v="1"/>
    <x v="851"/>
    <x v="1"/>
  </r>
  <r>
    <x v="157"/>
    <x v="6"/>
    <x v="1"/>
    <x v="5"/>
    <x v="7"/>
    <x v="845"/>
    <x v="847"/>
    <x v="849"/>
    <x v="1"/>
    <x v="1"/>
    <x v="1"/>
    <x v="852"/>
    <x v="1"/>
  </r>
  <r>
    <x v="107"/>
    <x v="3"/>
    <x v="2"/>
    <x v="3"/>
    <x v="3"/>
    <x v="846"/>
    <x v="848"/>
    <x v="850"/>
    <x v="1"/>
    <x v="1"/>
    <x v="1"/>
    <x v="853"/>
    <x v="1"/>
  </r>
  <r>
    <x v="179"/>
    <x v="2"/>
    <x v="0"/>
    <x v="5"/>
    <x v="9"/>
    <x v="847"/>
    <x v="849"/>
    <x v="851"/>
    <x v="1"/>
    <x v="1"/>
    <x v="1"/>
    <x v="854"/>
    <x v="1"/>
  </r>
  <r>
    <x v="70"/>
    <x v="2"/>
    <x v="0"/>
    <x v="1"/>
    <x v="3"/>
    <x v="848"/>
    <x v="850"/>
    <x v="852"/>
    <x v="1"/>
    <x v="1"/>
    <x v="1"/>
    <x v="855"/>
    <x v="1"/>
  </r>
  <r>
    <x v="15"/>
    <x v="3"/>
    <x v="0"/>
    <x v="5"/>
    <x v="6"/>
    <x v="849"/>
    <x v="851"/>
    <x v="853"/>
    <x v="1"/>
    <x v="1"/>
    <x v="1"/>
    <x v="856"/>
    <x v="1"/>
  </r>
  <r>
    <x v="143"/>
    <x v="2"/>
    <x v="2"/>
    <x v="4"/>
    <x v="0"/>
    <x v="850"/>
    <x v="852"/>
    <x v="854"/>
    <x v="1"/>
    <x v="1"/>
    <x v="1"/>
    <x v="857"/>
    <x v="1"/>
  </r>
  <r>
    <x v="39"/>
    <x v="1"/>
    <x v="3"/>
    <x v="2"/>
    <x v="0"/>
    <x v="851"/>
    <x v="853"/>
    <x v="855"/>
    <x v="1"/>
    <x v="1"/>
    <x v="1"/>
    <x v="858"/>
    <x v="1"/>
  </r>
  <r>
    <x v="84"/>
    <x v="5"/>
    <x v="2"/>
    <x v="6"/>
    <x v="9"/>
    <x v="852"/>
    <x v="854"/>
    <x v="856"/>
    <x v="1"/>
    <x v="1"/>
    <x v="1"/>
    <x v="859"/>
    <x v="1"/>
  </r>
  <r>
    <x v="115"/>
    <x v="3"/>
    <x v="0"/>
    <x v="1"/>
    <x v="9"/>
    <x v="31"/>
    <x v="855"/>
    <x v="857"/>
    <x v="1"/>
    <x v="1"/>
    <x v="1"/>
    <x v="860"/>
    <x v="1"/>
  </r>
  <r>
    <x v="123"/>
    <x v="6"/>
    <x v="0"/>
    <x v="1"/>
    <x v="4"/>
    <x v="853"/>
    <x v="856"/>
    <x v="858"/>
    <x v="1"/>
    <x v="1"/>
    <x v="1"/>
    <x v="861"/>
    <x v="1"/>
  </r>
  <r>
    <x v="72"/>
    <x v="2"/>
    <x v="3"/>
    <x v="0"/>
    <x v="8"/>
    <x v="854"/>
    <x v="857"/>
    <x v="859"/>
    <x v="1"/>
    <x v="1"/>
    <x v="1"/>
    <x v="862"/>
    <x v="1"/>
  </r>
  <r>
    <x v="82"/>
    <x v="2"/>
    <x v="2"/>
    <x v="0"/>
    <x v="4"/>
    <x v="855"/>
    <x v="858"/>
    <x v="860"/>
    <x v="1"/>
    <x v="1"/>
    <x v="1"/>
    <x v="863"/>
    <x v="1"/>
  </r>
  <r>
    <x v="47"/>
    <x v="5"/>
    <x v="2"/>
    <x v="2"/>
    <x v="6"/>
    <x v="856"/>
    <x v="859"/>
    <x v="861"/>
    <x v="1"/>
    <x v="1"/>
    <x v="1"/>
    <x v="864"/>
    <x v="1"/>
  </r>
  <r>
    <x v="117"/>
    <x v="3"/>
    <x v="0"/>
    <x v="3"/>
    <x v="7"/>
    <x v="857"/>
    <x v="860"/>
    <x v="862"/>
    <x v="1"/>
    <x v="1"/>
    <x v="1"/>
    <x v="865"/>
    <x v="1"/>
  </r>
  <r>
    <x v="11"/>
    <x v="4"/>
    <x v="1"/>
    <x v="2"/>
    <x v="6"/>
    <x v="111"/>
    <x v="861"/>
    <x v="863"/>
    <x v="1"/>
    <x v="1"/>
    <x v="1"/>
    <x v="866"/>
    <x v="1"/>
  </r>
  <r>
    <x v="21"/>
    <x v="3"/>
    <x v="2"/>
    <x v="6"/>
    <x v="8"/>
    <x v="858"/>
    <x v="862"/>
    <x v="864"/>
    <x v="1"/>
    <x v="1"/>
    <x v="1"/>
    <x v="867"/>
    <x v="1"/>
  </r>
  <r>
    <x v="159"/>
    <x v="3"/>
    <x v="3"/>
    <x v="5"/>
    <x v="4"/>
    <x v="859"/>
    <x v="863"/>
    <x v="865"/>
    <x v="1"/>
    <x v="1"/>
    <x v="1"/>
    <x v="868"/>
    <x v="1"/>
  </r>
  <r>
    <x v="148"/>
    <x v="1"/>
    <x v="1"/>
    <x v="2"/>
    <x v="0"/>
    <x v="860"/>
    <x v="864"/>
    <x v="866"/>
    <x v="1"/>
    <x v="1"/>
    <x v="1"/>
    <x v="869"/>
    <x v="1"/>
  </r>
  <r>
    <x v="116"/>
    <x v="5"/>
    <x v="1"/>
    <x v="6"/>
    <x v="7"/>
    <x v="861"/>
    <x v="865"/>
    <x v="867"/>
    <x v="1"/>
    <x v="1"/>
    <x v="1"/>
    <x v="870"/>
    <x v="1"/>
  </r>
  <r>
    <x v="19"/>
    <x v="0"/>
    <x v="3"/>
    <x v="6"/>
    <x v="5"/>
    <x v="862"/>
    <x v="866"/>
    <x v="868"/>
    <x v="1"/>
    <x v="1"/>
    <x v="1"/>
    <x v="871"/>
    <x v="1"/>
  </r>
  <r>
    <x v="20"/>
    <x v="0"/>
    <x v="0"/>
    <x v="3"/>
    <x v="7"/>
    <x v="863"/>
    <x v="867"/>
    <x v="869"/>
    <x v="1"/>
    <x v="1"/>
    <x v="1"/>
    <x v="872"/>
    <x v="1"/>
  </r>
  <r>
    <x v="76"/>
    <x v="3"/>
    <x v="2"/>
    <x v="3"/>
    <x v="6"/>
    <x v="864"/>
    <x v="868"/>
    <x v="870"/>
    <x v="1"/>
    <x v="1"/>
    <x v="1"/>
    <x v="873"/>
    <x v="1"/>
  </r>
  <r>
    <x v="77"/>
    <x v="5"/>
    <x v="0"/>
    <x v="1"/>
    <x v="9"/>
    <x v="865"/>
    <x v="869"/>
    <x v="871"/>
    <x v="1"/>
    <x v="1"/>
    <x v="1"/>
    <x v="874"/>
    <x v="1"/>
  </r>
  <r>
    <x v="64"/>
    <x v="3"/>
    <x v="3"/>
    <x v="7"/>
    <x v="8"/>
    <x v="866"/>
    <x v="870"/>
    <x v="872"/>
    <x v="1"/>
    <x v="1"/>
    <x v="1"/>
    <x v="875"/>
    <x v="1"/>
  </r>
  <r>
    <x v="41"/>
    <x v="4"/>
    <x v="1"/>
    <x v="7"/>
    <x v="6"/>
    <x v="867"/>
    <x v="871"/>
    <x v="873"/>
    <x v="1"/>
    <x v="1"/>
    <x v="1"/>
    <x v="876"/>
    <x v="1"/>
  </r>
  <r>
    <x v="160"/>
    <x v="0"/>
    <x v="1"/>
    <x v="0"/>
    <x v="0"/>
    <x v="868"/>
    <x v="872"/>
    <x v="874"/>
    <x v="1"/>
    <x v="1"/>
    <x v="1"/>
    <x v="877"/>
    <x v="1"/>
  </r>
  <r>
    <x v="177"/>
    <x v="0"/>
    <x v="1"/>
    <x v="4"/>
    <x v="8"/>
    <x v="869"/>
    <x v="873"/>
    <x v="875"/>
    <x v="1"/>
    <x v="1"/>
    <x v="1"/>
    <x v="878"/>
    <x v="1"/>
  </r>
  <r>
    <x v="156"/>
    <x v="3"/>
    <x v="1"/>
    <x v="6"/>
    <x v="0"/>
    <x v="870"/>
    <x v="874"/>
    <x v="876"/>
    <x v="1"/>
    <x v="1"/>
    <x v="1"/>
    <x v="879"/>
    <x v="1"/>
  </r>
  <r>
    <x v="19"/>
    <x v="5"/>
    <x v="2"/>
    <x v="6"/>
    <x v="8"/>
    <x v="871"/>
    <x v="875"/>
    <x v="877"/>
    <x v="1"/>
    <x v="1"/>
    <x v="1"/>
    <x v="880"/>
    <x v="1"/>
  </r>
  <r>
    <x v="25"/>
    <x v="2"/>
    <x v="2"/>
    <x v="4"/>
    <x v="3"/>
    <x v="872"/>
    <x v="876"/>
    <x v="878"/>
    <x v="1"/>
    <x v="1"/>
    <x v="1"/>
    <x v="881"/>
    <x v="1"/>
  </r>
  <r>
    <x v="46"/>
    <x v="5"/>
    <x v="0"/>
    <x v="6"/>
    <x v="8"/>
    <x v="873"/>
    <x v="877"/>
    <x v="879"/>
    <x v="1"/>
    <x v="1"/>
    <x v="1"/>
    <x v="882"/>
    <x v="1"/>
  </r>
  <r>
    <x v="89"/>
    <x v="5"/>
    <x v="3"/>
    <x v="0"/>
    <x v="0"/>
    <x v="874"/>
    <x v="878"/>
    <x v="880"/>
    <x v="1"/>
    <x v="1"/>
    <x v="1"/>
    <x v="883"/>
    <x v="1"/>
  </r>
  <r>
    <x v="2"/>
    <x v="1"/>
    <x v="1"/>
    <x v="7"/>
    <x v="5"/>
    <x v="875"/>
    <x v="879"/>
    <x v="881"/>
    <x v="1"/>
    <x v="1"/>
    <x v="1"/>
    <x v="884"/>
    <x v="1"/>
  </r>
  <r>
    <x v="55"/>
    <x v="1"/>
    <x v="1"/>
    <x v="2"/>
    <x v="2"/>
    <x v="876"/>
    <x v="880"/>
    <x v="882"/>
    <x v="1"/>
    <x v="1"/>
    <x v="1"/>
    <x v="885"/>
    <x v="1"/>
  </r>
  <r>
    <x v="76"/>
    <x v="6"/>
    <x v="0"/>
    <x v="2"/>
    <x v="7"/>
    <x v="877"/>
    <x v="881"/>
    <x v="883"/>
    <x v="1"/>
    <x v="1"/>
    <x v="1"/>
    <x v="886"/>
    <x v="1"/>
  </r>
  <r>
    <x v="7"/>
    <x v="2"/>
    <x v="0"/>
    <x v="5"/>
    <x v="8"/>
    <x v="878"/>
    <x v="882"/>
    <x v="884"/>
    <x v="1"/>
    <x v="1"/>
    <x v="1"/>
    <x v="887"/>
    <x v="1"/>
  </r>
  <r>
    <x v="116"/>
    <x v="1"/>
    <x v="0"/>
    <x v="5"/>
    <x v="2"/>
    <x v="879"/>
    <x v="883"/>
    <x v="885"/>
    <x v="1"/>
    <x v="1"/>
    <x v="1"/>
    <x v="888"/>
    <x v="1"/>
  </r>
  <r>
    <x v="133"/>
    <x v="6"/>
    <x v="1"/>
    <x v="0"/>
    <x v="2"/>
    <x v="880"/>
    <x v="884"/>
    <x v="886"/>
    <x v="1"/>
    <x v="1"/>
    <x v="1"/>
    <x v="889"/>
    <x v="1"/>
  </r>
  <r>
    <x v="38"/>
    <x v="5"/>
    <x v="1"/>
    <x v="4"/>
    <x v="4"/>
    <x v="881"/>
    <x v="885"/>
    <x v="887"/>
    <x v="1"/>
    <x v="1"/>
    <x v="1"/>
    <x v="890"/>
    <x v="1"/>
  </r>
  <r>
    <x v="34"/>
    <x v="3"/>
    <x v="2"/>
    <x v="2"/>
    <x v="2"/>
    <x v="882"/>
    <x v="886"/>
    <x v="888"/>
    <x v="1"/>
    <x v="1"/>
    <x v="1"/>
    <x v="891"/>
    <x v="1"/>
  </r>
  <r>
    <x v="116"/>
    <x v="4"/>
    <x v="1"/>
    <x v="0"/>
    <x v="8"/>
    <x v="883"/>
    <x v="887"/>
    <x v="889"/>
    <x v="1"/>
    <x v="1"/>
    <x v="1"/>
    <x v="892"/>
    <x v="1"/>
  </r>
  <r>
    <x v="114"/>
    <x v="5"/>
    <x v="3"/>
    <x v="5"/>
    <x v="7"/>
    <x v="884"/>
    <x v="888"/>
    <x v="890"/>
    <x v="1"/>
    <x v="1"/>
    <x v="1"/>
    <x v="893"/>
    <x v="1"/>
  </r>
  <r>
    <x v="164"/>
    <x v="2"/>
    <x v="2"/>
    <x v="7"/>
    <x v="2"/>
    <x v="885"/>
    <x v="889"/>
    <x v="891"/>
    <x v="1"/>
    <x v="1"/>
    <x v="1"/>
    <x v="894"/>
    <x v="1"/>
  </r>
  <r>
    <x v="32"/>
    <x v="5"/>
    <x v="3"/>
    <x v="0"/>
    <x v="7"/>
    <x v="886"/>
    <x v="890"/>
    <x v="892"/>
    <x v="1"/>
    <x v="1"/>
    <x v="1"/>
    <x v="895"/>
    <x v="1"/>
  </r>
  <r>
    <x v="55"/>
    <x v="2"/>
    <x v="1"/>
    <x v="4"/>
    <x v="4"/>
    <x v="887"/>
    <x v="891"/>
    <x v="893"/>
    <x v="1"/>
    <x v="1"/>
    <x v="1"/>
    <x v="896"/>
    <x v="1"/>
  </r>
  <r>
    <x v="91"/>
    <x v="4"/>
    <x v="0"/>
    <x v="3"/>
    <x v="9"/>
    <x v="888"/>
    <x v="892"/>
    <x v="894"/>
    <x v="1"/>
    <x v="1"/>
    <x v="1"/>
    <x v="897"/>
    <x v="1"/>
  </r>
  <r>
    <x v="123"/>
    <x v="0"/>
    <x v="2"/>
    <x v="1"/>
    <x v="0"/>
    <x v="889"/>
    <x v="893"/>
    <x v="895"/>
    <x v="1"/>
    <x v="1"/>
    <x v="1"/>
    <x v="898"/>
    <x v="1"/>
  </r>
  <r>
    <x v="10"/>
    <x v="1"/>
    <x v="1"/>
    <x v="0"/>
    <x v="2"/>
    <x v="890"/>
    <x v="894"/>
    <x v="896"/>
    <x v="1"/>
    <x v="1"/>
    <x v="1"/>
    <x v="899"/>
    <x v="1"/>
  </r>
  <r>
    <x v="77"/>
    <x v="1"/>
    <x v="1"/>
    <x v="4"/>
    <x v="8"/>
    <x v="891"/>
    <x v="895"/>
    <x v="897"/>
    <x v="1"/>
    <x v="1"/>
    <x v="1"/>
    <x v="900"/>
    <x v="1"/>
  </r>
  <r>
    <x v="97"/>
    <x v="3"/>
    <x v="2"/>
    <x v="2"/>
    <x v="0"/>
    <x v="892"/>
    <x v="896"/>
    <x v="898"/>
    <x v="1"/>
    <x v="1"/>
    <x v="1"/>
    <x v="901"/>
    <x v="1"/>
  </r>
  <r>
    <x v="32"/>
    <x v="6"/>
    <x v="1"/>
    <x v="4"/>
    <x v="4"/>
    <x v="893"/>
    <x v="897"/>
    <x v="899"/>
    <x v="1"/>
    <x v="1"/>
    <x v="1"/>
    <x v="902"/>
    <x v="1"/>
  </r>
  <r>
    <x v="15"/>
    <x v="4"/>
    <x v="2"/>
    <x v="7"/>
    <x v="3"/>
    <x v="894"/>
    <x v="898"/>
    <x v="900"/>
    <x v="1"/>
    <x v="1"/>
    <x v="1"/>
    <x v="903"/>
    <x v="1"/>
  </r>
  <r>
    <x v="65"/>
    <x v="6"/>
    <x v="3"/>
    <x v="5"/>
    <x v="9"/>
    <x v="895"/>
    <x v="899"/>
    <x v="901"/>
    <x v="1"/>
    <x v="1"/>
    <x v="1"/>
    <x v="904"/>
    <x v="1"/>
  </r>
  <r>
    <x v="74"/>
    <x v="0"/>
    <x v="3"/>
    <x v="4"/>
    <x v="5"/>
    <x v="896"/>
    <x v="900"/>
    <x v="902"/>
    <x v="1"/>
    <x v="1"/>
    <x v="1"/>
    <x v="905"/>
    <x v="1"/>
  </r>
  <r>
    <x v="63"/>
    <x v="4"/>
    <x v="2"/>
    <x v="2"/>
    <x v="4"/>
    <x v="897"/>
    <x v="901"/>
    <x v="903"/>
    <x v="1"/>
    <x v="1"/>
    <x v="1"/>
    <x v="906"/>
    <x v="1"/>
  </r>
  <r>
    <x v="171"/>
    <x v="2"/>
    <x v="2"/>
    <x v="6"/>
    <x v="5"/>
    <x v="898"/>
    <x v="902"/>
    <x v="904"/>
    <x v="1"/>
    <x v="1"/>
    <x v="1"/>
    <x v="907"/>
    <x v="1"/>
  </r>
  <r>
    <x v="129"/>
    <x v="5"/>
    <x v="2"/>
    <x v="4"/>
    <x v="0"/>
    <x v="104"/>
    <x v="903"/>
    <x v="905"/>
    <x v="1"/>
    <x v="1"/>
    <x v="1"/>
    <x v="908"/>
    <x v="1"/>
  </r>
  <r>
    <x v="95"/>
    <x v="5"/>
    <x v="0"/>
    <x v="1"/>
    <x v="6"/>
    <x v="899"/>
    <x v="904"/>
    <x v="906"/>
    <x v="1"/>
    <x v="1"/>
    <x v="1"/>
    <x v="909"/>
    <x v="1"/>
  </r>
  <r>
    <x v="17"/>
    <x v="1"/>
    <x v="2"/>
    <x v="0"/>
    <x v="9"/>
    <x v="900"/>
    <x v="905"/>
    <x v="907"/>
    <x v="1"/>
    <x v="1"/>
    <x v="1"/>
    <x v="910"/>
    <x v="1"/>
  </r>
  <r>
    <x v="84"/>
    <x v="6"/>
    <x v="2"/>
    <x v="6"/>
    <x v="6"/>
    <x v="901"/>
    <x v="906"/>
    <x v="908"/>
    <x v="1"/>
    <x v="1"/>
    <x v="1"/>
    <x v="911"/>
    <x v="1"/>
  </r>
  <r>
    <x v="2"/>
    <x v="0"/>
    <x v="2"/>
    <x v="5"/>
    <x v="6"/>
    <x v="902"/>
    <x v="907"/>
    <x v="909"/>
    <x v="1"/>
    <x v="1"/>
    <x v="1"/>
    <x v="912"/>
    <x v="1"/>
  </r>
  <r>
    <x v="101"/>
    <x v="1"/>
    <x v="1"/>
    <x v="6"/>
    <x v="0"/>
    <x v="903"/>
    <x v="908"/>
    <x v="910"/>
    <x v="1"/>
    <x v="1"/>
    <x v="1"/>
    <x v="913"/>
    <x v="1"/>
  </r>
  <r>
    <x v="143"/>
    <x v="3"/>
    <x v="0"/>
    <x v="5"/>
    <x v="2"/>
    <x v="904"/>
    <x v="909"/>
    <x v="911"/>
    <x v="1"/>
    <x v="1"/>
    <x v="1"/>
    <x v="914"/>
    <x v="1"/>
  </r>
  <r>
    <x v="108"/>
    <x v="5"/>
    <x v="0"/>
    <x v="2"/>
    <x v="0"/>
    <x v="905"/>
    <x v="910"/>
    <x v="912"/>
    <x v="1"/>
    <x v="1"/>
    <x v="1"/>
    <x v="915"/>
    <x v="1"/>
  </r>
  <r>
    <x v="172"/>
    <x v="1"/>
    <x v="2"/>
    <x v="2"/>
    <x v="9"/>
    <x v="906"/>
    <x v="911"/>
    <x v="913"/>
    <x v="1"/>
    <x v="1"/>
    <x v="1"/>
    <x v="916"/>
    <x v="1"/>
  </r>
  <r>
    <x v="35"/>
    <x v="1"/>
    <x v="3"/>
    <x v="7"/>
    <x v="0"/>
    <x v="907"/>
    <x v="912"/>
    <x v="914"/>
    <x v="1"/>
    <x v="1"/>
    <x v="1"/>
    <x v="917"/>
    <x v="1"/>
  </r>
  <r>
    <x v="39"/>
    <x v="6"/>
    <x v="2"/>
    <x v="3"/>
    <x v="5"/>
    <x v="908"/>
    <x v="913"/>
    <x v="915"/>
    <x v="1"/>
    <x v="1"/>
    <x v="1"/>
    <x v="918"/>
    <x v="1"/>
  </r>
  <r>
    <x v="123"/>
    <x v="3"/>
    <x v="1"/>
    <x v="0"/>
    <x v="5"/>
    <x v="909"/>
    <x v="914"/>
    <x v="666"/>
    <x v="1"/>
    <x v="1"/>
    <x v="1"/>
    <x v="919"/>
    <x v="1"/>
  </r>
  <r>
    <x v="72"/>
    <x v="6"/>
    <x v="3"/>
    <x v="1"/>
    <x v="0"/>
    <x v="910"/>
    <x v="915"/>
    <x v="916"/>
    <x v="1"/>
    <x v="1"/>
    <x v="1"/>
    <x v="920"/>
    <x v="1"/>
  </r>
  <r>
    <x v="27"/>
    <x v="6"/>
    <x v="1"/>
    <x v="2"/>
    <x v="8"/>
    <x v="911"/>
    <x v="916"/>
    <x v="917"/>
    <x v="1"/>
    <x v="1"/>
    <x v="1"/>
    <x v="921"/>
    <x v="1"/>
  </r>
  <r>
    <x v="169"/>
    <x v="1"/>
    <x v="3"/>
    <x v="5"/>
    <x v="3"/>
    <x v="912"/>
    <x v="917"/>
    <x v="918"/>
    <x v="1"/>
    <x v="1"/>
    <x v="1"/>
    <x v="922"/>
    <x v="1"/>
  </r>
  <r>
    <x v="77"/>
    <x v="2"/>
    <x v="1"/>
    <x v="0"/>
    <x v="9"/>
    <x v="913"/>
    <x v="918"/>
    <x v="919"/>
    <x v="1"/>
    <x v="1"/>
    <x v="1"/>
    <x v="923"/>
    <x v="1"/>
  </r>
  <r>
    <x v="163"/>
    <x v="2"/>
    <x v="2"/>
    <x v="2"/>
    <x v="9"/>
    <x v="914"/>
    <x v="919"/>
    <x v="920"/>
    <x v="1"/>
    <x v="1"/>
    <x v="1"/>
    <x v="924"/>
    <x v="1"/>
  </r>
  <r>
    <x v="83"/>
    <x v="3"/>
    <x v="3"/>
    <x v="2"/>
    <x v="7"/>
    <x v="915"/>
    <x v="920"/>
    <x v="921"/>
    <x v="1"/>
    <x v="1"/>
    <x v="1"/>
    <x v="925"/>
    <x v="1"/>
  </r>
  <r>
    <x v="163"/>
    <x v="1"/>
    <x v="3"/>
    <x v="3"/>
    <x v="4"/>
    <x v="916"/>
    <x v="921"/>
    <x v="922"/>
    <x v="1"/>
    <x v="1"/>
    <x v="1"/>
    <x v="926"/>
    <x v="1"/>
  </r>
  <r>
    <x v="132"/>
    <x v="3"/>
    <x v="0"/>
    <x v="1"/>
    <x v="5"/>
    <x v="917"/>
    <x v="922"/>
    <x v="923"/>
    <x v="1"/>
    <x v="1"/>
    <x v="1"/>
    <x v="927"/>
    <x v="1"/>
  </r>
  <r>
    <x v="104"/>
    <x v="5"/>
    <x v="2"/>
    <x v="3"/>
    <x v="8"/>
    <x v="918"/>
    <x v="923"/>
    <x v="924"/>
    <x v="1"/>
    <x v="1"/>
    <x v="1"/>
    <x v="928"/>
    <x v="1"/>
  </r>
  <r>
    <x v="145"/>
    <x v="5"/>
    <x v="2"/>
    <x v="4"/>
    <x v="1"/>
    <x v="919"/>
    <x v="924"/>
    <x v="925"/>
    <x v="1"/>
    <x v="1"/>
    <x v="1"/>
    <x v="929"/>
    <x v="1"/>
  </r>
  <r>
    <x v="110"/>
    <x v="1"/>
    <x v="3"/>
    <x v="2"/>
    <x v="7"/>
    <x v="920"/>
    <x v="925"/>
    <x v="926"/>
    <x v="1"/>
    <x v="1"/>
    <x v="1"/>
    <x v="930"/>
    <x v="1"/>
  </r>
  <r>
    <x v="14"/>
    <x v="0"/>
    <x v="3"/>
    <x v="3"/>
    <x v="1"/>
    <x v="921"/>
    <x v="926"/>
    <x v="927"/>
    <x v="1"/>
    <x v="1"/>
    <x v="1"/>
    <x v="931"/>
    <x v="1"/>
  </r>
  <r>
    <x v="6"/>
    <x v="1"/>
    <x v="1"/>
    <x v="2"/>
    <x v="3"/>
    <x v="922"/>
    <x v="927"/>
    <x v="928"/>
    <x v="1"/>
    <x v="1"/>
    <x v="1"/>
    <x v="932"/>
    <x v="1"/>
  </r>
  <r>
    <x v="94"/>
    <x v="1"/>
    <x v="0"/>
    <x v="1"/>
    <x v="4"/>
    <x v="923"/>
    <x v="928"/>
    <x v="929"/>
    <x v="1"/>
    <x v="1"/>
    <x v="1"/>
    <x v="933"/>
    <x v="1"/>
  </r>
  <r>
    <x v="70"/>
    <x v="4"/>
    <x v="3"/>
    <x v="1"/>
    <x v="8"/>
    <x v="924"/>
    <x v="929"/>
    <x v="930"/>
    <x v="1"/>
    <x v="1"/>
    <x v="1"/>
    <x v="934"/>
    <x v="1"/>
  </r>
  <r>
    <x v="49"/>
    <x v="6"/>
    <x v="2"/>
    <x v="6"/>
    <x v="0"/>
    <x v="925"/>
    <x v="930"/>
    <x v="931"/>
    <x v="1"/>
    <x v="1"/>
    <x v="1"/>
    <x v="935"/>
    <x v="1"/>
  </r>
  <r>
    <x v="37"/>
    <x v="3"/>
    <x v="0"/>
    <x v="7"/>
    <x v="0"/>
    <x v="926"/>
    <x v="931"/>
    <x v="932"/>
    <x v="1"/>
    <x v="1"/>
    <x v="1"/>
    <x v="936"/>
    <x v="1"/>
  </r>
  <r>
    <x v="28"/>
    <x v="2"/>
    <x v="0"/>
    <x v="4"/>
    <x v="3"/>
    <x v="927"/>
    <x v="932"/>
    <x v="933"/>
    <x v="1"/>
    <x v="1"/>
    <x v="1"/>
    <x v="937"/>
    <x v="1"/>
  </r>
  <r>
    <x v="68"/>
    <x v="3"/>
    <x v="0"/>
    <x v="5"/>
    <x v="2"/>
    <x v="928"/>
    <x v="933"/>
    <x v="934"/>
    <x v="1"/>
    <x v="1"/>
    <x v="1"/>
    <x v="938"/>
    <x v="1"/>
  </r>
  <r>
    <x v="174"/>
    <x v="6"/>
    <x v="3"/>
    <x v="7"/>
    <x v="4"/>
    <x v="929"/>
    <x v="934"/>
    <x v="935"/>
    <x v="1"/>
    <x v="1"/>
    <x v="1"/>
    <x v="939"/>
    <x v="1"/>
  </r>
  <r>
    <x v="28"/>
    <x v="5"/>
    <x v="2"/>
    <x v="3"/>
    <x v="8"/>
    <x v="930"/>
    <x v="935"/>
    <x v="936"/>
    <x v="1"/>
    <x v="1"/>
    <x v="1"/>
    <x v="940"/>
    <x v="1"/>
  </r>
  <r>
    <x v="156"/>
    <x v="6"/>
    <x v="2"/>
    <x v="6"/>
    <x v="3"/>
    <x v="931"/>
    <x v="936"/>
    <x v="937"/>
    <x v="1"/>
    <x v="1"/>
    <x v="1"/>
    <x v="941"/>
    <x v="1"/>
  </r>
  <r>
    <x v="102"/>
    <x v="2"/>
    <x v="1"/>
    <x v="7"/>
    <x v="3"/>
    <x v="932"/>
    <x v="937"/>
    <x v="938"/>
    <x v="1"/>
    <x v="1"/>
    <x v="1"/>
    <x v="942"/>
    <x v="1"/>
  </r>
  <r>
    <x v="127"/>
    <x v="2"/>
    <x v="1"/>
    <x v="5"/>
    <x v="6"/>
    <x v="933"/>
    <x v="938"/>
    <x v="512"/>
    <x v="1"/>
    <x v="1"/>
    <x v="1"/>
    <x v="943"/>
    <x v="1"/>
  </r>
  <r>
    <x v="5"/>
    <x v="2"/>
    <x v="0"/>
    <x v="3"/>
    <x v="4"/>
    <x v="934"/>
    <x v="939"/>
    <x v="939"/>
    <x v="1"/>
    <x v="1"/>
    <x v="1"/>
    <x v="944"/>
    <x v="1"/>
  </r>
  <r>
    <x v="150"/>
    <x v="1"/>
    <x v="2"/>
    <x v="3"/>
    <x v="3"/>
    <x v="935"/>
    <x v="940"/>
    <x v="940"/>
    <x v="1"/>
    <x v="1"/>
    <x v="1"/>
    <x v="945"/>
    <x v="1"/>
  </r>
  <r>
    <x v="86"/>
    <x v="3"/>
    <x v="3"/>
    <x v="7"/>
    <x v="7"/>
    <x v="936"/>
    <x v="941"/>
    <x v="941"/>
    <x v="1"/>
    <x v="1"/>
    <x v="1"/>
    <x v="946"/>
    <x v="1"/>
  </r>
  <r>
    <x v="97"/>
    <x v="2"/>
    <x v="3"/>
    <x v="4"/>
    <x v="3"/>
    <x v="937"/>
    <x v="942"/>
    <x v="942"/>
    <x v="1"/>
    <x v="1"/>
    <x v="1"/>
    <x v="947"/>
    <x v="1"/>
  </r>
  <r>
    <x v="84"/>
    <x v="2"/>
    <x v="3"/>
    <x v="1"/>
    <x v="7"/>
    <x v="938"/>
    <x v="943"/>
    <x v="943"/>
    <x v="1"/>
    <x v="1"/>
    <x v="1"/>
    <x v="948"/>
    <x v="1"/>
  </r>
  <r>
    <x v="178"/>
    <x v="1"/>
    <x v="1"/>
    <x v="2"/>
    <x v="3"/>
    <x v="939"/>
    <x v="944"/>
    <x v="944"/>
    <x v="1"/>
    <x v="1"/>
    <x v="1"/>
    <x v="949"/>
    <x v="1"/>
  </r>
  <r>
    <x v="178"/>
    <x v="3"/>
    <x v="0"/>
    <x v="0"/>
    <x v="3"/>
    <x v="940"/>
    <x v="945"/>
    <x v="945"/>
    <x v="1"/>
    <x v="1"/>
    <x v="1"/>
    <x v="950"/>
    <x v="1"/>
  </r>
  <r>
    <x v="89"/>
    <x v="0"/>
    <x v="2"/>
    <x v="7"/>
    <x v="8"/>
    <x v="941"/>
    <x v="946"/>
    <x v="946"/>
    <x v="1"/>
    <x v="1"/>
    <x v="1"/>
    <x v="951"/>
    <x v="1"/>
  </r>
  <r>
    <x v="38"/>
    <x v="5"/>
    <x v="3"/>
    <x v="4"/>
    <x v="5"/>
    <x v="942"/>
    <x v="947"/>
    <x v="947"/>
    <x v="1"/>
    <x v="1"/>
    <x v="1"/>
    <x v="952"/>
    <x v="1"/>
  </r>
  <r>
    <x v="162"/>
    <x v="2"/>
    <x v="2"/>
    <x v="2"/>
    <x v="4"/>
    <x v="943"/>
    <x v="948"/>
    <x v="948"/>
    <x v="1"/>
    <x v="1"/>
    <x v="1"/>
    <x v="953"/>
    <x v="1"/>
  </r>
  <r>
    <x v="100"/>
    <x v="2"/>
    <x v="2"/>
    <x v="1"/>
    <x v="4"/>
    <x v="944"/>
    <x v="949"/>
    <x v="949"/>
    <x v="1"/>
    <x v="1"/>
    <x v="1"/>
    <x v="954"/>
    <x v="1"/>
  </r>
  <r>
    <x v="88"/>
    <x v="6"/>
    <x v="1"/>
    <x v="4"/>
    <x v="7"/>
    <x v="945"/>
    <x v="950"/>
    <x v="950"/>
    <x v="1"/>
    <x v="1"/>
    <x v="1"/>
    <x v="955"/>
    <x v="1"/>
  </r>
  <r>
    <x v="170"/>
    <x v="6"/>
    <x v="3"/>
    <x v="4"/>
    <x v="3"/>
    <x v="946"/>
    <x v="951"/>
    <x v="951"/>
    <x v="1"/>
    <x v="1"/>
    <x v="1"/>
    <x v="956"/>
    <x v="1"/>
  </r>
  <r>
    <x v="12"/>
    <x v="2"/>
    <x v="3"/>
    <x v="2"/>
    <x v="2"/>
    <x v="947"/>
    <x v="952"/>
    <x v="952"/>
    <x v="1"/>
    <x v="1"/>
    <x v="1"/>
    <x v="957"/>
    <x v="1"/>
  </r>
  <r>
    <x v="46"/>
    <x v="2"/>
    <x v="2"/>
    <x v="5"/>
    <x v="6"/>
    <x v="948"/>
    <x v="953"/>
    <x v="953"/>
    <x v="1"/>
    <x v="1"/>
    <x v="1"/>
    <x v="958"/>
    <x v="1"/>
  </r>
  <r>
    <x v="18"/>
    <x v="5"/>
    <x v="1"/>
    <x v="5"/>
    <x v="7"/>
    <x v="949"/>
    <x v="954"/>
    <x v="954"/>
    <x v="1"/>
    <x v="1"/>
    <x v="1"/>
    <x v="959"/>
    <x v="1"/>
  </r>
  <r>
    <x v="3"/>
    <x v="3"/>
    <x v="0"/>
    <x v="1"/>
    <x v="1"/>
    <x v="950"/>
    <x v="955"/>
    <x v="955"/>
    <x v="1"/>
    <x v="1"/>
    <x v="1"/>
    <x v="960"/>
    <x v="1"/>
  </r>
  <r>
    <x v="157"/>
    <x v="3"/>
    <x v="1"/>
    <x v="3"/>
    <x v="0"/>
    <x v="951"/>
    <x v="956"/>
    <x v="956"/>
    <x v="1"/>
    <x v="1"/>
    <x v="1"/>
    <x v="961"/>
    <x v="1"/>
  </r>
  <r>
    <x v="42"/>
    <x v="6"/>
    <x v="3"/>
    <x v="5"/>
    <x v="9"/>
    <x v="952"/>
    <x v="957"/>
    <x v="957"/>
    <x v="1"/>
    <x v="1"/>
    <x v="1"/>
    <x v="962"/>
    <x v="1"/>
  </r>
  <r>
    <x v="179"/>
    <x v="0"/>
    <x v="0"/>
    <x v="4"/>
    <x v="5"/>
    <x v="953"/>
    <x v="958"/>
    <x v="958"/>
    <x v="1"/>
    <x v="1"/>
    <x v="1"/>
    <x v="963"/>
    <x v="1"/>
  </r>
  <r>
    <x v="46"/>
    <x v="3"/>
    <x v="3"/>
    <x v="7"/>
    <x v="2"/>
    <x v="954"/>
    <x v="959"/>
    <x v="959"/>
    <x v="1"/>
    <x v="1"/>
    <x v="1"/>
    <x v="964"/>
    <x v="1"/>
  </r>
  <r>
    <x v="3"/>
    <x v="6"/>
    <x v="2"/>
    <x v="7"/>
    <x v="5"/>
    <x v="955"/>
    <x v="960"/>
    <x v="960"/>
    <x v="1"/>
    <x v="1"/>
    <x v="1"/>
    <x v="965"/>
    <x v="1"/>
  </r>
  <r>
    <x v="8"/>
    <x v="6"/>
    <x v="0"/>
    <x v="7"/>
    <x v="1"/>
    <x v="956"/>
    <x v="961"/>
    <x v="961"/>
    <x v="1"/>
    <x v="1"/>
    <x v="1"/>
    <x v="966"/>
    <x v="1"/>
  </r>
  <r>
    <x v="89"/>
    <x v="1"/>
    <x v="0"/>
    <x v="7"/>
    <x v="5"/>
    <x v="957"/>
    <x v="962"/>
    <x v="962"/>
    <x v="1"/>
    <x v="1"/>
    <x v="1"/>
    <x v="967"/>
    <x v="1"/>
  </r>
  <r>
    <x v="177"/>
    <x v="3"/>
    <x v="1"/>
    <x v="1"/>
    <x v="3"/>
    <x v="958"/>
    <x v="963"/>
    <x v="963"/>
    <x v="1"/>
    <x v="1"/>
    <x v="1"/>
    <x v="968"/>
    <x v="1"/>
  </r>
  <r>
    <x v="135"/>
    <x v="4"/>
    <x v="2"/>
    <x v="5"/>
    <x v="9"/>
    <x v="959"/>
    <x v="964"/>
    <x v="964"/>
    <x v="1"/>
    <x v="1"/>
    <x v="1"/>
    <x v="969"/>
    <x v="1"/>
  </r>
  <r>
    <x v="32"/>
    <x v="0"/>
    <x v="3"/>
    <x v="2"/>
    <x v="3"/>
    <x v="960"/>
    <x v="965"/>
    <x v="965"/>
    <x v="1"/>
    <x v="1"/>
    <x v="1"/>
    <x v="970"/>
    <x v="1"/>
  </r>
  <r>
    <x v="34"/>
    <x v="1"/>
    <x v="0"/>
    <x v="5"/>
    <x v="8"/>
    <x v="961"/>
    <x v="966"/>
    <x v="966"/>
    <x v="1"/>
    <x v="1"/>
    <x v="1"/>
    <x v="971"/>
    <x v="1"/>
  </r>
  <r>
    <x v="30"/>
    <x v="1"/>
    <x v="1"/>
    <x v="3"/>
    <x v="2"/>
    <x v="962"/>
    <x v="967"/>
    <x v="967"/>
    <x v="1"/>
    <x v="1"/>
    <x v="1"/>
    <x v="972"/>
    <x v="1"/>
  </r>
  <r>
    <x v="169"/>
    <x v="2"/>
    <x v="1"/>
    <x v="3"/>
    <x v="1"/>
    <x v="963"/>
    <x v="968"/>
    <x v="968"/>
    <x v="1"/>
    <x v="1"/>
    <x v="1"/>
    <x v="973"/>
    <x v="1"/>
  </r>
  <r>
    <x v="64"/>
    <x v="1"/>
    <x v="1"/>
    <x v="5"/>
    <x v="1"/>
    <x v="964"/>
    <x v="969"/>
    <x v="969"/>
    <x v="1"/>
    <x v="1"/>
    <x v="1"/>
    <x v="974"/>
    <x v="1"/>
  </r>
  <r>
    <x v="17"/>
    <x v="2"/>
    <x v="0"/>
    <x v="7"/>
    <x v="1"/>
    <x v="965"/>
    <x v="970"/>
    <x v="970"/>
    <x v="1"/>
    <x v="1"/>
    <x v="1"/>
    <x v="975"/>
    <x v="1"/>
  </r>
  <r>
    <x v="21"/>
    <x v="6"/>
    <x v="0"/>
    <x v="4"/>
    <x v="9"/>
    <x v="966"/>
    <x v="971"/>
    <x v="971"/>
    <x v="1"/>
    <x v="1"/>
    <x v="1"/>
    <x v="976"/>
    <x v="1"/>
  </r>
  <r>
    <x v="145"/>
    <x v="6"/>
    <x v="3"/>
    <x v="4"/>
    <x v="4"/>
    <x v="967"/>
    <x v="972"/>
    <x v="972"/>
    <x v="1"/>
    <x v="1"/>
    <x v="1"/>
    <x v="977"/>
    <x v="1"/>
  </r>
  <r>
    <x v="146"/>
    <x v="5"/>
    <x v="1"/>
    <x v="1"/>
    <x v="1"/>
    <x v="968"/>
    <x v="973"/>
    <x v="973"/>
    <x v="1"/>
    <x v="1"/>
    <x v="1"/>
    <x v="978"/>
    <x v="1"/>
  </r>
  <r>
    <x v="162"/>
    <x v="0"/>
    <x v="0"/>
    <x v="3"/>
    <x v="8"/>
    <x v="969"/>
    <x v="974"/>
    <x v="974"/>
    <x v="1"/>
    <x v="1"/>
    <x v="1"/>
    <x v="979"/>
    <x v="1"/>
  </r>
  <r>
    <x v="98"/>
    <x v="5"/>
    <x v="1"/>
    <x v="3"/>
    <x v="8"/>
    <x v="970"/>
    <x v="975"/>
    <x v="975"/>
    <x v="1"/>
    <x v="1"/>
    <x v="1"/>
    <x v="980"/>
    <x v="1"/>
  </r>
  <r>
    <x v="154"/>
    <x v="5"/>
    <x v="0"/>
    <x v="6"/>
    <x v="9"/>
    <x v="971"/>
    <x v="976"/>
    <x v="976"/>
    <x v="1"/>
    <x v="1"/>
    <x v="1"/>
    <x v="981"/>
    <x v="1"/>
  </r>
  <r>
    <x v="131"/>
    <x v="4"/>
    <x v="2"/>
    <x v="6"/>
    <x v="2"/>
    <x v="972"/>
    <x v="977"/>
    <x v="977"/>
    <x v="1"/>
    <x v="1"/>
    <x v="1"/>
    <x v="982"/>
    <x v="1"/>
  </r>
  <r>
    <x v="50"/>
    <x v="1"/>
    <x v="0"/>
    <x v="0"/>
    <x v="7"/>
    <x v="973"/>
    <x v="978"/>
    <x v="978"/>
    <x v="1"/>
    <x v="1"/>
    <x v="1"/>
    <x v="983"/>
    <x v="1"/>
  </r>
  <r>
    <x v="23"/>
    <x v="1"/>
    <x v="3"/>
    <x v="5"/>
    <x v="6"/>
    <x v="974"/>
    <x v="979"/>
    <x v="979"/>
    <x v="1"/>
    <x v="1"/>
    <x v="1"/>
    <x v="984"/>
    <x v="1"/>
  </r>
  <r>
    <x v="3"/>
    <x v="1"/>
    <x v="2"/>
    <x v="1"/>
    <x v="7"/>
    <x v="113"/>
    <x v="980"/>
    <x v="980"/>
    <x v="1"/>
    <x v="1"/>
    <x v="1"/>
    <x v="985"/>
    <x v="1"/>
  </r>
  <r>
    <x v="100"/>
    <x v="4"/>
    <x v="1"/>
    <x v="6"/>
    <x v="9"/>
    <x v="975"/>
    <x v="981"/>
    <x v="981"/>
    <x v="1"/>
    <x v="1"/>
    <x v="1"/>
    <x v="986"/>
    <x v="1"/>
  </r>
  <r>
    <x v="143"/>
    <x v="0"/>
    <x v="2"/>
    <x v="3"/>
    <x v="8"/>
    <x v="976"/>
    <x v="982"/>
    <x v="982"/>
    <x v="1"/>
    <x v="1"/>
    <x v="1"/>
    <x v="987"/>
    <x v="1"/>
  </r>
  <r>
    <x v="147"/>
    <x v="6"/>
    <x v="0"/>
    <x v="7"/>
    <x v="2"/>
    <x v="977"/>
    <x v="983"/>
    <x v="983"/>
    <x v="1"/>
    <x v="1"/>
    <x v="1"/>
    <x v="988"/>
    <x v="1"/>
  </r>
  <r>
    <x v="125"/>
    <x v="0"/>
    <x v="0"/>
    <x v="5"/>
    <x v="0"/>
    <x v="978"/>
    <x v="984"/>
    <x v="984"/>
    <x v="1"/>
    <x v="1"/>
    <x v="1"/>
    <x v="989"/>
    <x v="1"/>
  </r>
  <r>
    <x v="102"/>
    <x v="4"/>
    <x v="3"/>
    <x v="6"/>
    <x v="0"/>
    <x v="979"/>
    <x v="985"/>
    <x v="985"/>
    <x v="1"/>
    <x v="1"/>
    <x v="1"/>
    <x v="990"/>
    <x v="1"/>
  </r>
  <r>
    <x v="118"/>
    <x v="5"/>
    <x v="2"/>
    <x v="1"/>
    <x v="2"/>
    <x v="980"/>
    <x v="986"/>
    <x v="986"/>
    <x v="1"/>
    <x v="1"/>
    <x v="1"/>
    <x v="991"/>
    <x v="1"/>
  </r>
  <r>
    <x v="39"/>
    <x v="0"/>
    <x v="3"/>
    <x v="7"/>
    <x v="7"/>
    <x v="981"/>
    <x v="987"/>
    <x v="987"/>
    <x v="1"/>
    <x v="1"/>
    <x v="1"/>
    <x v="992"/>
    <x v="1"/>
  </r>
  <r>
    <x v="35"/>
    <x v="4"/>
    <x v="2"/>
    <x v="3"/>
    <x v="5"/>
    <x v="982"/>
    <x v="988"/>
    <x v="988"/>
    <x v="1"/>
    <x v="1"/>
    <x v="1"/>
    <x v="993"/>
    <x v="1"/>
  </r>
  <r>
    <x v="108"/>
    <x v="6"/>
    <x v="0"/>
    <x v="6"/>
    <x v="6"/>
    <x v="983"/>
    <x v="989"/>
    <x v="989"/>
    <x v="1"/>
    <x v="1"/>
    <x v="1"/>
    <x v="994"/>
    <x v="1"/>
  </r>
  <r>
    <x v="130"/>
    <x v="5"/>
    <x v="2"/>
    <x v="4"/>
    <x v="6"/>
    <x v="984"/>
    <x v="990"/>
    <x v="990"/>
    <x v="1"/>
    <x v="1"/>
    <x v="1"/>
    <x v="995"/>
    <x v="1"/>
  </r>
  <r>
    <x v="28"/>
    <x v="3"/>
    <x v="3"/>
    <x v="2"/>
    <x v="3"/>
    <x v="985"/>
    <x v="991"/>
    <x v="991"/>
    <x v="1"/>
    <x v="1"/>
    <x v="1"/>
    <x v="996"/>
    <x v="1"/>
  </r>
  <r>
    <x v="66"/>
    <x v="2"/>
    <x v="1"/>
    <x v="5"/>
    <x v="3"/>
    <x v="986"/>
    <x v="992"/>
    <x v="992"/>
    <x v="1"/>
    <x v="1"/>
    <x v="1"/>
    <x v="997"/>
    <x v="1"/>
  </r>
  <r>
    <x v="111"/>
    <x v="2"/>
    <x v="3"/>
    <x v="2"/>
    <x v="3"/>
    <x v="987"/>
    <x v="993"/>
    <x v="993"/>
    <x v="1"/>
    <x v="1"/>
    <x v="1"/>
    <x v="998"/>
    <x v="1"/>
  </r>
  <r>
    <x v="30"/>
    <x v="6"/>
    <x v="3"/>
    <x v="6"/>
    <x v="6"/>
    <x v="988"/>
    <x v="994"/>
    <x v="994"/>
    <x v="1"/>
    <x v="1"/>
    <x v="1"/>
    <x v="999"/>
    <x v="1"/>
  </r>
  <r>
    <x v="58"/>
    <x v="5"/>
    <x v="0"/>
    <x v="7"/>
    <x v="0"/>
    <x v="989"/>
    <x v="995"/>
    <x v="995"/>
    <x v="1"/>
    <x v="1"/>
    <x v="1"/>
    <x v="1000"/>
    <x v="1"/>
  </r>
  <r>
    <x v="54"/>
    <x v="0"/>
    <x v="2"/>
    <x v="4"/>
    <x v="4"/>
    <x v="990"/>
    <x v="996"/>
    <x v="996"/>
    <x v="1"/>
    <x v="1"/>
    <x v="1"/>
    <x v="1001"/>
    <x v="1"/>
  </r>
  <r>
    <x v="62"/>
    <x v="2"/>
    <x v="2"/>
    <x v="4"/>
    <x v="4"/>
    <x v="991"/>
    <x v="997"/>
    <x v="997"/>
    <x v="1"/>
    <x v="1"/>
    <x v="1"/>
    <x v="1002"/>
    <x v="1"/>
  </r>
  <r>
    <x v="8"/>
    <x v="2"/>
    <x v="3"/>
    <x v="5"/>
    <x v="8"/>
    <x v="992"/>
    <x v="998"/>
    <x v="998"/>
    <x v="1"/>
    <x v="1"/>
    <x v="1"/>
    <x v="1003"/>
    <x v="1"/>
  </r>
  <r>
    <x v="169"/>
    <x v="1"/>
    <x v="0"/>
    <x v="4"/>
    <x v="3"/>
    <x v="993"/>
    <x v="999"/>
    <x v="999"/>
    <x v="1"/>
    <x v="1"/>
    <x v="1"/>
    <x v="1004"/>
    <x v="1"/>
  </r>
  <r>
    <x v="163"/>
    <x v="6"/>
    <x v="0"/>
    <x v="0"/>
    <x v="1"/>
    <x v="994"/>
    <x v="1000"/>
    <x v="1000"/>
    <x v="1"/>
    <x v="1"/>
    <x v="1"/>
    <x v="1005"/>
    <x v="1"/>
  </r>
  <r>
    <x v="9"/>
    <x v="1"/>
    <x v="0"/>
    <x v="2"/>
    <x v="7"/>
    <x v="995"/>
    <x v="1001"/>
    <x v="1001"/>
    <x v="1"/>
    <x v="1"/>
    <x v="1"/>
    <x v="1006"/>
    <x v="1"/>
  </r>
  <r>
    <x v="35"/>
    <x v="4"/>
    <x v="3"/>
    <x v="0"/>
    <x v="2"/>
    <x v="996"/>
    <x v="1002"/>
    <x v="1002"/>
    <x v="1"/>
    <x v="1"/>
    <x v="1"/>
    <x v="1007"/>
    <x v="1"/>
  </r>
  <r>
    <x v="111"/>
    <x v="1"/>
    <x v="3"/>
    <x v="2"/>
    <x v="0"/>
    <x v="997"/>
    <x v="1003"/>
    <x v="1003"/>
    <x v="1"/>
    <x v="1"/>
    <x v="1"/>
    <x v="1008"/>
    <x v="1"/>
  </r>
  <r>
    <x v="135"/>
    <x v="5"/>
    <x v="1"/>
    <x v="0"/>
    <x v="3"/>
    <x v="998"/>
    <x v="1004"/>
    <x v="1004"/>
    <x v="1"/>
    <x v="1"/>
    <x v="1"/>
    <x v="1009"/>
    <x v="1"/>
  </r>
  <r>
    <x v="98"/>
    <x v="3"/>
    <x v="0"/>
    <x v="3"/>
    <x v="3"/>
    <x v="999"/>
    <x v="1005"/>
    <x v="1005"/>
    <x v="1"/>
    <x v="1"/>
    <x v="1"/>
    <x v="1010"/>
    <x v="1"/>
  </r>
  <r>
    <x v="57"/>
    <x v="2"/>
    <x v="0"/>
    <x v="6"/>
    <x v="6"/>
    <x v="1000"/>
    <x v="1006"/>
    <x v="1006"/>
    <x v="1"/>
    <x v="1"/>
    <x v="1"/>
    <x v="1011"/>
    <x v="1"/>
  </r>
  <r>
    <x v="161"/>
    <x v="2"/>
    <x v="2"/>
    <x v="2"/>
    <x v="8"/>
    <x v="1001"/>
    <x v="1007"/>
    <x v="1007"/>
    <x v="1"/>
    <x v="1"/>
    <x v="1"/>
    <x v="1012"/>
    <x v="1"/>
  </r>
  <r>
    <x v="5"/>
    <x v="0"/>
    <x v="2"/>
    <x v="0"/>
    <x v="0"/>
    <x v="1002"/>
    <x v="1008"/>
    <x v="1008"/>
    <x v="1"/>
    <x v="1"/>
    <x v="1"/>
    <x v="1013"/>
    <x v="1"/>
  </r>
  <r>
    <x v="159"/>
    <x v="2"/>
    <x v="2"/>
    <x v="7"/>
    <x v="0"/>
    <x v="1003"/>
    <x v="1009"/>
    <x v="1009"/>
    <x v="1"/>
    <x v="1"/>
    <x v="1"/>
    <x v="1014"/>
    <x v="1"/>
  </r>
  <r>
    <x v="24"/>
    <x v="6"/>
    <x v="0"/>
    <x v="3"/>
    <x v="3"/>
    <x v="1004"/>
    <x v="1010"/>
    <x v="1010"/>
    <x v="1"/>
    <x v="1"/>
    <x v="1"/>
    <x v="1015"/>
    <x v="1"/>
  </r>
  <r>
    <x v="11"/>
    <x v="0"/>
    <x v="3"/>
    <x v="1"/>
    <x v="1"/>
    <x v="1005"/>
    <x v="1011"/>
    <x v="1011"/>
    <x v="1"/>
    <x v="1"/>
    <x v="1"/>
    <x v="1016"/>
    <x v="1"/>
  </r>
  <r>
    <x v="0"/>
    <x v="0"/>
    <x v="2"/>
    <x v="7"/>
    <x v="3"/>
    <x v="1006"/>
    <x v="1012"/>
    <x v="1012"/>
    <x v="1"/>
    <x v="1"/>
    <x v="1"/>
    <x v="1017"/>
    <x v="1"/>
  </r>
  <r>
    <x v="62"/>
    <x v="3"/>
    <x v="2"/>
    <x v="3"/>
    <x v="7"/>
    <x v="1007"/>
    <x v="1013"/>
    <x v="1013"/>
    <x v="1"/>
    <x v="1"/>
    <x v="1"/>
    <x v="1018"/>
    <x v="1"/>
  </r>
  <r>
    <x v="47"/>
    <x v="6"/>
    <x v="3"/>
    <x v="0"/>
    <x v="6"/>
    <x v="1008"/>
    <x v="1014"/>
    <x v="1014"/>
    <x v="1"/>
    <x v="1"/>
    <x v="1"/>
    <x v="1019"/>
    <x v="1"/>
  </r>
  <r>
    <x v="114"/>
    <x v="1"/>
    <x v="2"/>
    <x v="7"/>
    <x v="4"/>
    <x v="1009"/>
    <x v="1015"/>
    <x v="95"/>
    <x v="1"/>
    <x v="1"/>
    <x v="1"/>
    <x v="1020"/>
    <x v="1"/>
  </r>
  <r>
    <x v="8"/>
    <x v="0"/>
    <x v="3"/>
    <x v="0"/>
    <x v="7"/>
    <x v="1010"/>
    <x v="1016"/>
    <x v="1015"/>
    <x v="1"/>
    <x v="1"/>
    <x v="1"/>
    <x v="1021"/>
    <x v="1"/>
  </r>
  <r>
    <x v="59"/>
    <x v="1"/>
    <x v="1"/>
    <x v="6"/>
    <x v="9"/>
    <x v="1011"/>
    <x v="1017"/>
    <x v="1016"/>
    <x v="1"/>
    <x v="1"/>
    <x v="1"/>
    <x v="1022"/>
    <x v="1"/>
  </r>
  <r>
    <x v="36"/>
    <x v="1"/>
    <x v="0"/>
    <x v="3"/>
    <x v="6"/>
    <x v="1012"/>
    <x v="1018"/>
    <x v="1017"/>
    <x v="1"/>
    <x v="1"/>
    <x v="1"/>
    <x v="1023"/>
    <x v="1"/>
  </r>
  <r>
    <x v="49"/>
    <x v="6"/>
    <x v="3"/>
    <x v="3"/>
    <x v="4"/>
    <x v="1013"/>
    <x v="1019"/>
    <x v="1018"/>
    <x v="1"/>
    <x v="1"/>
    <x v="1"/>
    <x v="1024"/>
    <x v="1"/>
  </r>
  <r>
    <x v="10"/>
    <x v="3"/>
    <x v="3"/>
    <x v="2"/>
    <x v="5"/>
    <x v="1014"/>
    <x v="1020"/>
    <x v="1019"/>
    <x v="1"/>
    <x v="1"/>
    <x v="1"/>
    <x v="1025"/>
    <x v="1"/>
  </r>
  <r>
    <x v="143"/>
    <x v="1"/>
    <x v="3"/>
    <x v="0"/>
    <x v="0"/>
    <x v="1015"/>
    <x v="1021"/>
    <x v="1020"/>
    <x v="1"/>
    <x v="1"/>
    <x v="1"/>
    <x v="1026"/>
    <x v="1"/>
  </r>
  <r>
    <x v="145"/>
    <x v="0"/>
    <x v="3"/>
    <x v="6"/>
    <x v="7"/>
    <x v="1016"/>
    <x v="1022"/>
    <x v="1021"/>
    <x v="1"/>
    <x v="1"/>
    <x v="1"/>
    <x v="1027"/>
    <x v="1"/>
  </r>
  <r>
    <x v="64"/>
    <x v="4"/>
    <x v="1"/>
    <x v="7"/>
    <x v="4"/>
    <x v="1017"/>
    <x v="1023"/>
    <x v="1022"/>
    <x v="1"/>
    <x v="1"/>
    <x v="1"/>
    <x v="1028"/>
    <x v="1"/>
  </r>
  <r>
    <x v="26"/>
    <x v="4"/>
    <x v="1"/>
    <x v="3"/>
    <x v="6"/>
    <x v="1018"/>
    <x v="1024"/>
    <x v="1023"/>
    <x v="1"/>
    <x v="1"/>
    <x v="1"/>
    <x v="1029"/>
    <x v="1"/>
  </r>
  <r>
    <x v="177"/>
    <x v="6"/>
    <x v="0"/>
    <x v="6"/>
    <x v="5"/>
    <x v="1019"/>
    <x v="1025"/>
    <x v="1024"/>
    <x v="1"/>
    <x v="1"/>
    <x v="1"/>
    <x v="1030"/>
    <x v="1"/>
  </r>
  <r>
    <x v="4"/>
    <x v="5"/>
    <x v="1"/>
    <x v="4"/>
    <x v="9"/>
    <x v="1020"/>
    <x v="1026"/>
    <x v="1025"/>
    <x v="1"/>
    <x v="1"/>
    <x v="1"/>
    <x v="1031"/>
    <x v="1"/>
  </r>
  <r>
    <x v="42"/>
    <x v="3"/>
    <x v="3"/>
    <x v="1"/>
    <x v="7"/>
    <x v="1021"/>
    <x v="1027"/>
    <x v="1026"/>
    <x v="1"/>
    <x v="1"/>
    <x v="1"/>
    <x v="1032"/>
    <x v="1"/>
  </r>
  <r>
    <x v="148"/>
    <x v="5"/>
    <x v="0"/>
    <x v="6"/>
    <x v="8"/>
    <x v="1022"/>
    <x v="1028"/>
    <x v="1027"/>
    <x v="1"/>
    <x v="1"/>
    <x v="1"/>
    <x v="1033"/>
    <x v="1"/>
  </r>
  <r>
    <x v="67"/>
    <x v="5"/>
    <x v="2"/>
    <x v="3"/>
    <x v="2"/>
    <x v="1023"/>
    <x v="1029"/>
    <x v="1028"/>
    <x v="1"/>
    <x v="1"/>
    <x v="1"/>
    <x v="1034"/>
    <x v="1"/>
  </r>
  <r>
    <x v="158"/>
    <x v="2"/>
    <x v="0"/>
    <x v="7"/>
    <x v="3"/>
    <x v="1024"/>
    <x v="1030"/>
    <x v="1029"/>
    <x v="1"/>
    <x v="1"/>
    <x v="1"/>
    <x v="1035"/>
    <x v="1"/>
  </r>
  <r>
    <x v="154"/>
    <x v="4"/>
    <x v="3"/>
    <x v="1"/>
    <x v="3"/>
    <x v="1025"/>
    <x v="1031"/>
    <x v="1030"/>
    <x v="1"/>
    <x v="1"/>
    <x v="1"/>
    <x v="1036"/>
    <x v="1"/>
  </r>
  <r>
    <x v="8"/>
    <x v="5"/>
    <x v="3"/>
    <x v="6"/>
    <x v="0"/>
    <x v="1026"/>
    <x v="1032"/>
    <x v="1031"/>
    <x v="1"/>
    <x v="1"/>
    <x v="1"/>
    <x v="1037"/>
    <x v="1"/>
  </r>
  <r>
    <x v="65"/>
    <x v="0"/>
    <x v="2"/>
    <x v="2"/>
    <x v="4"/>
    <x v="1027"/>
    <x v="1033"/>
    <x v="1032"/>
    <x v="1"/>
    <x v="1"/>
    <x v="1"/>
    <x v="1038"/>
    <x v="1"/>
  </r>
  <r>
    <x v="47"/>
    <x v="2"/>
    <x v="2"/>
    <x v="6"/>
    <x v="2"/>
    <x v="1028"/>
    <x v="1034"/>
    <x v="1033"/>
    <x v="1"/>
    <x v="1"/>
    <x v="1"/>
    <x v="1039"/>
    <x v="1"/>
  </r>
  <r>
    <x v="123"/>
    <x v="5"/>
    <x v="1"/>
    <x v="4"/>
    <x v="8"/>
    <x v="1029"/>
    <x v="1035"/>
    <x v="1034"/>
    <x v="1"/>
    <x v="1"/>
    <x v="1"/>
    <x v="1040"/>
    <x v="1"/>
  </r>
  <r>
    <x v="54"/>
    <x v="0"/>
    <x v="2"/>
    <x v="2"/>
    <x v="0"/>
    <x v="1030"/>
    <x v="1036"/>
    <x v="1035"/>
    <x v="1"/>
    <x v="1"/>
    <x v="1"/>
    <x v="1041"/>
    <x v="1"/>
  </r>
  <r>
    <x v="75"/>
    <x v="3"/>
    <x v="0"/>
    <x v="6"/>
    <x v="7"/>
    <x v="1031"/>
    <x v="1037"/>
    <x v="1036"/>
    <x v="1"/>
    <x v="1"/>
    <x v="1"/>
    <x v="1042"/>
    <x v="1"/>
  </r>
  <r>
    <x v="12"/>
    <x v="2"/>
    <x v="2"/>
    <x v="7"/>
    <x v="4"/>
    <x v="1032"/>
    <x v="1038"/>
    <x v="1037"/>
    <x v="1"/>
    <x v="1"/>
    <x v="1"/>
    <x v="1043"/>
    <x v="1"/>
  </r>
  <r>
    <x v="11"/>
    <x v="1"/>
    <x v="3"/>
    <x v="5"/>
    <x v="7"/>
    <x v="434"/>
    <x v="1039"/>
    <x v="1038"/>
    <x v="1"/>
    <x v="1"/>
    <x v="1"/>
    <x v="1044"/>
    <x v="1"/>
  </r>
  <r>
    <x v="159"/>
    <x v="6"/>
    <x v="3"/>
    <x v="3"/>
    <x v="2"/>
    <x v="1033"/>
    <x v="1040"/>
    <x v="1039"/>
    <x v="1"/>
    <x v="1"/>
    <x v="1"/>
    <x v="1045"/>
    <x v="1"/>
  </r>
  <r>
    <x v="147"/>
    <x v="3"/>
    <x v="1"/>
    <x v="0"/>
    <x v="9"/>
    <x v="1034"/>
    <x v="1041"/>
    <x v="1040"/>
    <x v="1"/>
    <x v="1"/>
    <x v="1"/>
    <x v="1046"/>
    <x v="1"/>
  </r>
  <r>
    <x v="88"/>
    <x v="0"/>
    <x v="0"/>
    <x v="2"/>
    <x v="3"/>
    <x v="1035"/>
    <x v="1042"/>
    <x v="1041"/>
    <x v="1"/>
    <x v="1"/>
    <x v="1"/>
    <x v="1047"/>
    <x v="1"/>
  </r>
  <r>
    <x v="153"/>
    <x v="2"/>
    <x v="2"/>
    <x v="5"/>
    <x v="3"/>
    <x v="1036"/>
    <x v="1043"/>
    <x v="1042"/>
    <x v="1"/>
    <x v="1"/>
    <x v="1"/>
    <x v="1048"/>
    <x v="1"/>
  </r>
  <r>
    <x v="105"/>
    <x v="5"/>
    <x v="3"/>
    <x v="5"/>
    <x v="9"/>
    <x v="1037"/>
    <x v="1044"/>
    <x v="1043"/>
    <x v="1"/>
    <x v="1"/>
    <x v="1"/>
    <x v="1049"/>
    <x v="1"/>
  </r>
  <r>
    <x v="132"/>
    <x v="1"/>
    <x v="0"/>
    <x v="3"/>
    <x v="5"/>
    <x v="1038"/>
    <x v="1045"/>
    <x v="1044"/>
    <x v="1"/>
    <x v="1"/>
    <x v="1"/>
    <x v="1050"/>
    <x v="1"/>
  </r>
  <r>
    <x v="135"/>
    <x v="2"/>
    <x v="3"/>
    <x v="4"/>
    <x v="6"/>
    <x v="1039"/>
    <x v="1046"/>
    <x v="1045"/>
    <x v="1"/>
    <x v="1"/>
    <x v="1"/>
    <x v="1051"/>
    <x v="1"/>
  </r>
  <r>
    <x v="8"/>
    <x v="3"/>
    <x v="2"/>
    <x v="5"/>
    <x v="8"/>
    <x v="1040"/>
    <x v="1047"/>
    <x v="1046"/>
    <x v="1"/>
    <x v="1"/>
    <x v="1"/>
    <x v="1052"/>
    <x v="1"/>
  </r>
  <r>
    <x v="113"/>
    <x v="3"/>
    <x v="1"/>
    <x v="1"/>
    <x v="5"/>
    <x v="1041"/>
    <x v="1048"/>
    <x v="1047"/>
    <x v="1"/>
    <x v="1"/>
    <x v="1"/>
    <x v="1053"/>
    <x v="1"/>
  </r>
  <r>
    <x v="25"/>
    <x v="2"/>
    <x v="0"/>
    <x v="2"/>
    <x v="7"/>
    <x v="1042"/>
    <x v="1049"/>
    <x v="1048"/>
    <x v="1"/>
    <x v="1"/>
    <x v="1"/>
    <x v="1054"/>
    <x v="1"/>
  </r>
  <r>
    <x v="111"/>
    <x v="6"/>
    <x v="1"/>
    <x v="2"/>
    <x v="4"/>
    <x v="1043"/>
    <x v="1050"/>
    <x v="1049"/>
    <x v="1"/>
    <x v="1"/>
    <x v="1"/>
    <x v="1055"/>
    <x v="1"/>
  </r>
  <r>
    <x v="128"/>
    <x v="2"/>
    <x v="2"/>
    <x v="3"/>
    <x v="6"/>
    <x v="1044"/>
    <x v="1051"/>
    <x v="1050"/>
    <x v="1"/>
    <x v="1"/>
    <x v="1"/>
    <x v="1056"/>
    <x v="1"/>
  </r>
  <r>
    <x v="60"/>
    <x v="5"/>
    <x v="3"/>
    <x v="1"/>
    <x v="4"/>
    <x v="1045"/>
    <x v="1052"/>
    <x v="1051"/>
    <x v="1"/>
    <x v="1"/>
    <x v="1"/>
    <x v="1057"/>
    <x v="1"/>
  </r>
  <r>
    <x v="73"/>
    <x v="0"/>
    <x v="3"/>
    <x v="5"/>
    <x v="5"/>
    <x v="1046"/>
    <x v="1053"/>
    <x v="1052"/>
    <x v="1"/>
    <x v="1"/>
    <x v="1"/>
    <x v="1058"/>
    <x v="1"/>
  </r>
  <r>
    <x v="113"/>
    <x v="3"/>
    <x v="3"/>
    <x v="2"/>
    <x v="8"/>
    <x v="1047"/>
    <x v="1054"/>
    <x v="1053"/>
    <x v="1"/>
    <x v="1"/>
    <x v="1"/>
    <x v="1059"/>
    <x v="1"/>
  </r>
  <r>
    <x v="106"/>
    <x v="6"/>
    <x v="3"/>
    <x v="4"/>
    <x v="6"/>
    <x v="1048"/>
    <x v="1055"/>
    <x v="1054"/>
    <x v="1"/>
    <x v="1"/>
    <x v="1"/>
    <x v="1060"/>
    <x v="1"/>
  </r>
  <r>
    <x v="109"/>
    <x v="0"/>
    <x v="1"/>
    <x v="7"/>
    <x v="5"/>
    <x v="1049"/>
    <x v="1056"/>
    <x v="1055"/>
    <x v="1"/>
    <x v="1"/>
    <x v="1"/>
    <x v="1061"/>
    <x v="1"/>
  </r>
  <r>
    <x v="30"/>
    <x v="2"/>
    <x v="2"/>
    <x v="7"/>
    <x v="7"/>
    <x v="1050"/>
    <x v="1057"/>
    <x v="1056"/>
    <x v="1"/>
    <x v="1"/>
    <x v="1"/>
    <x v="1062"/>
    <x v="1"/>
  </r>
  <r>
    <x v="180"/>
    <x v="4"/>
    <x v="0"/>
    <x v="2"/>
    <x v="1"/>
    <x v="1051"/>
    <x v="1058"/>
    <x v="1057"/>
    <x v="1"/>
    <x v="1"/>
    <x v="1"/>
    <x v="1063"/>
    <x v="1"/>
  </r>
  <r>
    <x v="57"/>
    <x v="2"/>
    <x v="0"/>
    <x v="5"/>
    <x v="7"/>
    <x v="1052"/>
    <x v="1059"/>
    <x v="1058"/>
    <x v="1"/>
    <x v="1"/>
    <x v="1"/>
    <x v="1064"/>
    <x v="1"/>
  </r>
  <r>
    <x v="11"/>
    <x v="3"/>
    <x v="2"/>
    <x v="7"/>
    <x v="4"/>
    <x v="1053"/>
    <x v="1060"/>
    <x v="1059"/>
    <x v="1"/>
    <x v="1"/>
    <x v="1"/>
    <x v="1065"/>
    <x v="1"/>
  </r>
  <r>
    <x v="40"/>
    <x v="3"/>
    <x v="3"/>
    <x v="3"/>
    <x v="3"/>
    <x v="1054"/>
    <x v="1061"/>
    <x v="1060"/>
    <x v="1"/>
    <x v="1"/>
    <x v="1"/>
    <x v="1066"/>
    <x v="1"/>
  </r>
  <r>
    <x v="51"/>
    <x v="0"/>
    <x v="1"/>
    <x v="0"/>
    <x v="4"/>
    <x v="1055"/>
    <x v="1062"/>
    <x v="1061"/>
    <x v="1"/>
    <x v="1"/>
    <x v="1"/>
    <x v="1067"/>
    <x v="1"/>
  </r>
  <r>
    <x v="1"/>
    <x v="2"/>
    <x v="2"/>
    <x v="5"/>
    <x v="5"/>
    <x v="1056"/>
    <x v="1063"/>
    <x v="1062"/>
    <x v="1"/>
    <x v="1"/>
    <x v="1"/>
    <x v="1068"/>
    <x v="1"/>
  </r>
  <r>
    <x v="17"/>
    <x v="3"/>
    <x v="0"/>
    <x v="5"/>
    <x v="2"/>
    <x v="1057"/>
    <x v="1064"/>
    <x v="1063"/>
    <x v="1"/>
    <x v="1"/>
    <x v="1"/>
    <x v="1069"/>
    <x v="1"/>
  </r>
  <r>
    <x v="44"/>
    <x v="1"/>
    <x v="1"/>
    <x v="4"/>
    <x v="6"/>
    <x v="1058"/>
    <x v="1065"/>
    <x v="1064"/>
    <x v="1"/>
    <x v="1"/>
    <x v="1"/>
    <x v="1070"/>
    <x v="1"/>
  </r>
  <r>
    <x v="127"/>
    <x v="5"/>
    <x v="1"/>
    <x v="5"/>
    <x v="9"/>
    <x v="587"/>
    <x v="1066"/>
    <x v="1065"/>
    <x v="1"/>
    <x v="1"/>
    <x v="1"/>
    <x v="1071"/>
    <x v="1"/>
  </r>
  <r>
    <x v="87"/>
    <x v="3"/>
    <x v="0"/>
    <x v="4"/>
    <x v="3"/>
    <x v="1059"/>
    <x v="1067"/>
    <x v="1066"/>
    <x v="1"/>
    <x v="1"/>
    <x v="1"/>
    <x v="1072"/>
    <x v="1"/>
  </r>
  <r>
    <x v="87"/>
    <x v="1"/>
    <x v="0"/>
    <x v="5"/>
    <x v="8"/>
    <x v="1060"/>
    <x v="1068"/>
    <x v="1067"/>
    <x v="1"/>
    <x v="1"/>
    <x v="1"/>
    <x v="1073"/>
    <x v="1"/>
  </r>
  <r>
    <x v="103"/>
    <x v="3"/>
    <x v="2"/>
    <x v="3"/>
    <x v="6"/>
    <x v="1061"/>
    <x v="1069"/>
    <x v="1068"/>
    <x v="1"/>
    <x v="1"/>
    <x v="1"/>
    <x v="1074"/>
    <x v="1"/>
  </r>
  <r>
    <x v="96"/>
    <x v="6"/>
    <x v="2"/>
    <x v="7"/>
    <x v="4"/>
    <x v="1062"/>
    <x v="1070"/>
    <x v="1069"/>
    <x v="1"/>
    <x v="1"/>
    <x v="1"/>
    <x v="1075"/>
    <x v="1"/>
  </r>
  <r>
    <x v="15"/>
    <x v="2"/>
    <x v="3"/>
    <x v="6"/>
    <x v="7"/>
    <x v="1063"/>
    <x v="1071"/>
    <x v="1070"/>
    <x v="1"/>
    <x v="1"/>
    <x v="1"/>
    <x v="1076"/>
    <x v="1"/>
  </r>
  <r>
    <x v="30"/>
    <x v="2"/>
    <x v="3"/>
    <x v="4"/>
    <x v="4"/>
    <x v="1064"/>
    <x v="1072"/>
    <x v="1071"/>
    <x v="1"/>
    <x v="1"/>
    <x v="1"/>
    <x v="1077"/>
    <x v="1"/>
  </r>
  <r>
    <x v="179"/>
    <x v="5"/>
    <x v="0"/>
    <x v="5"/>
    <x v="9"/>
    <x v="1065"/>
    <x v="1073"/>
    <x v="1072"/>
    <x v="1"/>
    <x v="1"/>
    <x v="1"/>
    <x v="1078"/>
    <x v="1"/>
  </r>
  <r>
    <x v="116"/>
    <x v="3"/>
    <x v="1"/>
    <x v="1"/>
    <x v="9"/>
    <x v="1066"/>
    <x v="1074"/>
    <x v="1073"/>
    <x v="1"/>
    <x v="1"/>
    <x v="1"/>
    <x v="1079"/>
    <x v="1"/>
  </r>
  <r>
    <x v="114"/>
    <x v="5"/>
    <x v="2"/>
    <x v="2"/>
    <x v="6"/>
    <x v="1067"/>
    <x v="1075"/>
    <x v="1074"/>
    <x v="1"/>
    <x v="1"/>
    <x v="1"/>
    <x v="1080"/>
    <x v="1"/>
  </r>
  <r>
    <x v="138"/>
    <x v="4"/>
    <x v="2"/>
    <x v="3"/>
    <x v="8"/>
    <x v="1068"/>
    <x v="1076"/>
    <x v="1075"/>
    <x v="1"/>
    <x v="1"/>
    <x v="1"/>
    <x v="1081"/>
    <x v="1"/>
  </r>
  <r>
    <x v="98"/>
    <x v="0"/>
    <x v="0"/>
    <x v="0"/>
    <x v="3"/>
    <x v="1069"/>
    <x v="1077"/>
    <x v="1076"/>
    <x v="1"/>
    <x v="1"/>
    <x v="1"/>
    <x v="1082"/>
    <x v="1"/>
  </r>
  <r>
    <x v="88"/>
    <x v="0"/>
    <x v="1"/>
    <x v="1"/>
    <x v="2"/>
    <x v="1070"/>
    <x v="1078"/>
    <x v="1077"/>
    <x v="1"/>
    <x v="1"/>
    <x v="1"/>
    <x v="1083"/>
    <x v="1"/>
  </r>
  <r>
    <x v="108"/>
    <x v="5"/>
    <x v="1"/>
    <x v="5"/>
    <x v="6"/>
    <x v="1071"/>
    <x v="1079"/>
    <x v="1078"/>
    <x v="1"/>
    <x v="1"/>
    <x v="1"/>
    <x v="1084"/>
    <x v="1"/>
  </r>
  <r>
    <x v="5"/>
    <x v="2"/>
    <x v="1"/>
    <x v="6"/>
    <x v="2"/>
    <x v="1072"/>
    <x v="1080"/>
    <x v="1079"/>
    <x v="1"/>
    <x v="1"/>
    <x v="1"/>
    <x v="1085"/>
    <x v="1"/>
  </r>
  <r>
    <x v="70"/>
    <x v="4"/>
    <x v="0"/>
    <x v="0"/>
    <x v="8"/>
    <x v="1073"/>
    <x v="1081"/>
    <x v="1080"/>
    <x v="1"/>
    <x v="1"/>
    <x v="1"/>
    <x v="1086"/>
    <x v="1"/>
  </r>
  <r>
    <x v="128"/>
    <x v="2"/>
    <x v="3"/>
    <x v="6"/>
    <x v="5"/>
    <x v="1074"/>
    <x v="1082"/>
    <x v="1081"/>
    <x v="1"/>
    <x v="1"/>
    <x v="1"/>
    <x v="1087"/>
    <x v="1"/>
  </r>
  <r>
    <x v="151"/>
    <x v="6"/>
    <x v="1"/>
    <x v="5"/>
    <x v="1"/>
    <x v="1075"/>
    <x v="1083"/>
    <x v="1082"/>
    <x v="1"/>
    <x v="1"/>
    <x v="1"/>
    <x v="1088"/>
    <x v="1"/>
  </r>
  <r>
    <x v="137"/>
    <x v="3"/>
    <x v="2"/>
    <x v="0"/>
    <x v="4"/>
    <x v="1076"/>
    <x v="1084"/>
    <x v="1083"/>
    <x v="1"/>
    <x v="1"/>
    <x v="1"/>
    <x v="1089"/>
    <x v="1"/>
  </r>
  <r>
    <x v="40"/>
    <x v="3"/>
    <x v="2"/>
    <x v="7"/>
    <x v="0"/>
    <x v="1077"/>
    <x v="1085"/>
    <x v="408"/>
    <x v="1"/>
    <x v="1"/>
    <x v="1"/>
    <x v="1090"/>
    <x v="1"/>
  </r>
  <r>
    <x v="127"/>
    <x v="5"/>
    <x v="3"/>
    <x v="5"/>
    <x v="5"/>
    <x v="1078"/>
    <x v="1086"/>
    <x v="1084"/>
    <x v="1"/>
    <x v="1"/>
    <x v="1"/>
    <x v="1091"/>
    <x v="1"/>
  </r>
  <r>
    <x v="112"/>
    <x v="5"/>
    <x v="2"/>
    <x v="1"/>
    <x v="2"/>
    <x v="1079"/>
    <x v="1087"/>
    <x v="1085"/>
    <x v="1"/>
    <x v="1"/>
    <x v="1"/>
    <x v="1092"/>
    <x v="1"/>
  </r>
  <r>
    <x v="111"/>
    <x v="4"/>
    <x v="3"/>
    <x v="3"/>
    <x v="0"/>
    <x v="1080"/>
    <x v="1088"/>
    <x v="1086"/>
    <x v="1"/>
    <x v="1"/>
    <x v="1"/>
    <x v="1093"/>
    <x v="1"/>
  </r>
  <r>
    <x v="35"/>
    <x v="6"/>
    <x v="2"/>
    <x v="4"/>
    <x v="2"/>
    <x v="1081"/>
    <x v="1089"/>
    <x v="1087"/>
    <x v="1"/>
    <x v="1"/>
    <x v="1"/>
    <x v="1094"/>
    <x v="1"/>
  </r>
  <r>
    <x v="55"/>
    <x v="3"/>
    <x v="3"/>
    <x v="1"/>
    <x v="7"/>
    <x v="1082"/>
    <x v="1090"/>
    <x v="1088"/>
    <x v="1"/>
    <x v="1"/>
    <x v="1"/>
    <x v="1095"/>
    <x v="1"/>
  </r>
  <r>
    <x v="124"/>
    <x v="3"/>
    <x v="1"/>
    <x v="1"/>
    <x v="7"/>
    <x v="1083"/>
    <x v="1091"/>
    <x v="1089"/>
    <x v="1"/>
    <x v="1"/>
    <x v="1"/>
    <x v="1096"/>
    <x v="1"/>
  </r>
  <r>
    <x v="18"/>
    <x v="4"/>
    <x v="3"/>
    <x v="3"/>
    <x v="3"/>
    <x v="1084"/>
    <x v="1092"/>
    <x v="1090"/>
    <x v="1"/>
    <x v="1"/>
    <x v="1"/>
    <x v="1097"/>
    <x v="1"/>
  </r>
  <r>
    <x v="141"/>
    <x v="5"/>
    <x v="2"/>
    <x v="3"/>
    <x v="8"/>
    <x v="1085"/>
    <x v="1093"/>
    <x v="1091"/>
    <x v="1"/>
    <x v="1"/>
    <x v="1"/>
    <x v="1098"/>
    <x v="1"/>
  </r>
  <r>
    <x v="87"/>
    <x v="1"/>
    <x v="1"/>
    <x v="5"/>
    <x v="8"/>
    <x v="1086"/>
    <x v="1094"/>
    <x v="1092"/>
    <x v="1"/>
    <x v="1"/>
    <x v="1"/>
    <x v="1099"/>
    <x v="1"/>
  </r>
  <r>
    <x v="33"/>
    <x v="5"/>
    <x v="1"/>
    <x v="7"/>
    <x v="3"/>
    <x v="1087"/>
    <x v="1095"/>
    <x v="1093"/>
    <x v="1"/>
    <x v="1"/>
    <x v="1"/>
    <x v="1100"/>
    <x v="1"/>
  </r>
  <r>
    <x v="162"/>
    <x v="5"/>
    <x v="2"/>
    <x v="0"/>
    <x v="6"/>
    <x v="1088"/>
    <x v="1096"/>
    <x v="1094"/>
    <x v="1"/>
    <x v="1"/>
    <x v="1"/>
    <x v="1101"/>
    <x v="1"/>
  </r>
  <r>
    <x v="176"/>
    <x v="6"/>
    <x v="2"/>
    <x v="6"/>
    <x v="9"/>
    <x v="1089"/>
    <x v="1097"/>
    <x v="57"/>
    <x v="1"/>
    <x v="1"/>
    <x v="1"/>
    <x v="1102"/>
    <x v="1"/>
  </r>
  <r>
    <x v="140"/>
    <x v="3"/>
    <x v="2"/>
    <x v="6"/>
    <x v="7"/>
    <x v="1090"/>
    <x v="1098"/>
    <x v="1095"/>
    <x v="1"/>
    <x v="1"/>
    <x v="1"/>
    <x v="1103"/>
    <x v="1"/>
  </r>
  <r>
    <x v="111"/>
    <x v="3"/>
    <x v="1"/>
    <x v="6"/>
    <x v="4"/>
    <x v="1091"/>
    <x v="1099"/>
    <x v="1096"/>
    <x v="1"/>
    <x v="1"/>
    <x v="1"/>
    <x v="1104"/>
    <x v="1"/>
  </r>
  <r>
    <x v="131"/>
    <x v="3"/>
    <x v="1"/>
    <x v="1"/>
    <x v="6"/>
    <x v="1092"/>
    <x v="1100"/>
    <x v="1097"/>
    <x v="1"/>
    <x v="1"/>
    <x v="1"/>
    <x v="1105"/>
    <x v="1"/>
  </r>
  <r>
    <x v="20"/>
    <x v="0"/>
    <x v="3"/>
    <x v="4"/>
    <x v="1"/>
    <x v="1093"/>
    <x v="1101"/>
    <x v="1098"/>
    <x v="1"/>
    <x v="1"/>
    <x v="1"/>
    <x v="1106"/>
    <x v="1"/>
  </r>
  <r>
    <x v="144"/>
    <x v="1"/>
    <x v="1"/>
    <x v="5"/>
    <x v="4"/>
    <x v="1094"/>
    <x v="1102"/>
    <x v="1099"/>
    <x v="1"/>
    <x v="1"/>
    <x v="1"/>
    <x v="1107"/>
    <x v="1"/>
  </r>
  <r>
    <x v="60"/>
    <x v="2"/>
    <x v="0"/>
    <x v="3"/>
    <x v="7"/>
    <x v="1095"/>
    <x v="1103"/>
    <x v="1100"/>
    <x v="1"/>
    <x v="1"/>
    <x v="1"/>
    <x v="1108"/>
    <x v="1"/>
  </r>
  <r>
    <x v="172"/>
    <x v="1"/>
    <x v="1"/>
    <x v="4"/>
    <x v="4"/>
    <x v="1096"/>
    <x v="1104"/>
    <x v="1101"/>
    <x v="1"/>
    <x v="1"/>
    <x v="1"/>
    <x v="1109"/>
    <x v="1"/>
  </r>
  <r>
    <x v="155"/>
    <x v="5"/>
    <x v="1"/>
    <x v="1"/>
    <x v="5"/>
    <x v="1097"/>
    <x v="1105"/>
    <x v="1102"/>
    <x v="1"/>
    <x v="1"/>
    <x v="1"/>
    <x v="1110"/>
    <x v="1"/>
  </r>
  <r>
    <x v="114"/>
    <x v="2"/>
    <x v="1"/>
    <x v="5"/>
    <x v="9"/>
    <x v="1098"/>
    <x v="1106"/>
    <x v="1103"/>
    <x v="1"/>
    <x v="1"/>
    <x v="1"/>
    <x v="1111"/>
    <x v="1"/>
  </r>
  <r>
    <x v="30"/>
    <x v="1"/>
    <x v="2"/>
    <x v="6"/>
    <x v="4"/>
    <x v="1099"/>
    <x v="1107"/>
    <x v="1104"/>
    <x v="1"/>
    <x v="1"/>
    <x v="1"/>
    <x v="1112"/>
    <x v="1"/>
  </r>
  <r>
    <x v="3"/>
    <x v="4"/>
    <x v="2"/>
    <x v="4"/>
    <x v="3"/>
    <x v="895"/>
    <x v="1108"/>
    <x v="1105"/>
    <x v="1"/>
    <x v="1"/>
    <x v="1"/>
    <x v="1113"/>
    <x v="1"/>
  </r>
  <r>
    <x v="123"/>
    <x v="1"/>
    <x v="2"/>
    <x v="4"/>
    <x v="9"/>
    <x v="1100"/>
    <x v="1109"/>
    <x v="1106"/>
    <x v="1"/>
    <x v="1"/>
    <x v="1"/>
    <x v="1114"/>
    <x v="1"/>
  </r>
  <r>
    <x v="9"/>
    <x v="0"/>
    <x v="1"/>
    <x v="6"/>
    <x v="7"/>
    <x v="1101"/>
    <x v="1110"/>
    <x v="1107"/>
    <x v="1"/>
    <x v="1"/>
    <x v="1"/>
    <x v="1115"/>
    <x v="1"/>
  </r>
  <r>
    <x v="25"/>
    <x v="6"/>
    <x v="3"/>
    <x v="4"/>
    <x v="7"/>
    <x v="1102"/>
    <x v="1111"/>
    <x v="1108"/>
    <x v="1"/>
    <x v="1"/>
    <x v="1"/>
    <x v="1116"/>
    <x v="1"/>
  </r>
  <r>
    <x v="20"/>
    <x v="1"/>
    <x v="3"/>
    <x v="1"/>
    <x v="8"/>
    <x v="1103"/>
    <x v="1112"/>
    <x v="1109"/>
    <x v="1"/>
    <x v="1"/>
    <x v="1"/>
    <x v="1117"/>
    <x v="1"/>
  </r>
  <r>
    <x v="99"/>
    <x v="5"/>
    <x v="1"/>
    <x v="1"/>
    <x v="7"/>
    <x v="1104"/>
    <x v="1113"/>
    <x v="1110"/>
    <x v="1"/>
    <x v="1"/>
    <x v="1"/>
    <x v="1118"/>
    <x v="1"/>
  </r>
  <r>
    <x v="116"/>
    <x v="5"/>
    <x v="3"/>
    <x v="3"/>
    <x v="4"/>
    <x v="1105"/>
    <x v="1114"/>
    <x v="1111"/>
    <x v="1"/>
    <x v="1"/>
    <x v="1"/>
    <x v="1119"/>
    <x v="1"/>
  </r>
  <r>
    <x v="94"/>
    <x v="6"/>
    <x v="0"/>
    <x v="4"/>
    <x v="9"/>
    <x v="1106"/>
    <x v="1115"/>
    <x v="1112"/>
    <x v="1"/>
    <x v="1"/>
    <x v="1"/>
    <x v="1120"/>
    <x v="1"/>
  </r>
  <r>
    <x v="41"/>
    <x v="6"/>
    <x v="3"/>
    <x v="2"/>
    <x v="3"/>
    <x v="1107"/>
    <x v="1116"/>
    <x v="1113"/>
    <x v="1"/>
    <x v="1"/>
    <x v="1"/>
    <x v="1121"/>
    <x v="1"/>
  </r>
  <r>
    <x v="34"/>
    <x v="2"/>
    <x v="0"/>
    <x v="0"/>
    <x v="1"/>
    <x v="1108"/>
    <x v="1117"/>
    <x v="1114"/>
    <x v="1"/>
    <x v="1"/>
    <x v="1"/>
    <x v="1122"/>
    <x v="1"/>
  </r>
  <r>
    <x v="114"/>
    <x v="1"/>
    <x v="1"/>
    <x v="3"/>
    <x v="3"/>
    <x v="1109"/>
    <x v="1118"/>
    <x v="1115"/>
    <x v="1"/>
    <x v="1"/>
    <x v="1"/>
    <x v="1123"/>
    <x v="1"/>
  </r>
  <r>
    <x v="136"/>
    <x v="3"/>
    <x v="1"/>
    <x v="2"/>
    <x v="5"/>
    <x v="1110"/>
    <x v="1119"/>
    <x v="1116"/>
    <x v="1"/>
    <x v="1"/>
    <x v="1"/>
    <x v="1124"/>
    <x v="1"/>
  </r>
  <r>
    <x v="96"/>
    <x v="2"/>
    <x v="3"/>
    <x v="5"/>
    <x v="4"/>
    <x v="1111"/>
    <x v="1120"/>
    <x v="1117"/>
    <x v="1"/>
    <x v="1"/>
    <x v="1"/>
    <x v="1125"/>
    <x v="1"/>
  </r>
  <r>
    <x v="156"/>
    <x v="5"/>
    <x v="1"/>
    <x v="2"/>
    <x v="3"/>
    <x v="1112"/>
    <x v="1121"/>
    <x v="1118"/>
    <x v="1"/>
    <x v="1"/>
    <x v="1"/>
    <x v="1126"/>
    <x v="1"/>
  </r>
  <r>
    <x v="11"/>
    <x v="0"/>
    <x v="1"/>
    <x v="6"/>
    <x v="8"/>
    <x v="1113"/>
    <x v="1122"/>
    <x v="1119"/>
    <x v="1"/>
    <x v="1"/>
    <x v="1"/>
    <x v="1127"/>
    <x v="1"/>
  </r>
  <r>
    <x v="161"/>
    <x v="0"/>
    <x v="2"/>
    <x v="4"/>
    <x v="2"/>
    <x v="1114"/>
    <x v="1123"/>
    <x v="1120"/>
    <x v="1"/>
    <x v="1"/>
    <x v="1"/>
    <x v="1128"/>
    <x v="1"/>
  </r>
  <r>
    <x v="111"/>
    <x v="0"/>
    <x v="0"/>
    <x v="3"/>
    <x v="6"/>
    <x v="1115"/>
    <x v="1124"/>
    <x v="1121"/>
    <x v="1"/>
    <x v="1"/>
    <x v="1"/>
    <x v="1129"/>
    <x v="1"/>
  </r>
  <r>
    <x v="128"/>
    <x v="1"/>
    <x v="0"/>
    <x v="2"/>
    <x v="0"/>
    <x v="1116"/>
    <x v="1125"/>
    <x v="1122"/>
    <x v="1"/>
    <x v="1"/>
    <x v="1"/>
    <x v="1130"/>
    <x v="1"/>
  </r>
  <r>
    <x v="107"/>
    <x v="1"/>
    <x v="3"/>
    <x v="2"/>
    <x v="1"/>
    <x v="1117"/>
    <x v="1126"/>
    <x v="1123"/>
    <x v="1"/>
    <x v="1"/>
    <x v="1"/>
    <x v="1131"/>
    <x v="1"/>
  </r>
  <r>
    <x v="49"/>
    <x v="4"/>
    <x v="3"/>
    <x v="7"/>
    <x v="1"/>
    <x v="1118"/>
    <x v="1127"/>
    <x v="1124"/>
    <x v="1"/>
    <x v="1"/>
    <x v="1"/>
    <x v="1132"/>
    <x v="1"/>
  </r>
  <r>
    <x v="3"/>
    <x v="4"/>
    <x v="1"/>
    <x v="7"/>
    <x v="4"/>
    <x v="1119"/>
    <x v="1128"/>
    <x v="1125"/>
    <x v="1"/>
    <x v="1"/>
    <x v="1"/>
    <x v="1133"/>
    <x v="1"/>
  </r>
  <r>
    <x v="56"/>
    <x v="0"/>
    <x v="3"/>
    <x v="7"/>
    <x v="7"/>
    <x v="1120"/>
    <x v="1129"/>
    <x v="1126"/>
    <x v="1"/>
    <x v="1"/>
    <x v="1"/>
    <x v="1134"/>
    <x v="1"/>
  </r>
  <r>
    <x v="15"/>
    <x v="5"/>
    <x v="0"/>
    <x v="2"/>
    <x v="6"/>
    <x v="1121"/>
    <x v="1130"/>
    <x v="1127"/>
    <x v="1"/>
    <x v="1"/>
    <x v="1"/>
    <x v="1135"/>
    <x v="1"/>
  </r>
  <r>
    <x v="142"/>
    <x v="1"/>
    <x v="0"/>
    <x v="5"/>
    <x v="6"/>
    <x v="1122"/>
    <x v="1131"/>
    <x v="1128"/>
    <x v="1"/>
    <x v="1"/>
    <x v="1"/>
    <x v="1136"/>
    <x v="1"/>
  </r>
  <r>
    <x v="119"/>
    <x v="0"/>
    <x v="1"/>
    <x v="5"/>
    <x v="8"/>
    <x v="1123"/>
    <x v="1132"/>
    <x v="1129"/>
    <x v="1"/>
    <x v="1"/>
    <x v="1"/>
    <x v="1137"/>
    <x v="1"/>
  </r>
  <r>
    <x v="96"/>
    <x v="0"/>
    <x v="1"/>
    <x v="1"/>
    <x v="9"/>
    <x v="1124"/>
    <x v="1133"/>
    <x v="1130"/>
    <x v="1"/>
    <x v="1"/>
    <x v="1"/>
    <x v="1138"/>
    <x v="1"/>
  </r>
  <r>
    <x v="131"/>
    <x v="6"/>
    <x v="2"/>
    <x v="4"/>
    <x v="4"/>
    <x v="1125"/>
    <x v="1134"/>
    <x v="1131"/>
    <x v="1"/>
    <x v="1"/>
    <x v="1"/>
    <x v="1139"/>
    <x v="1"/>
  </r>
  <r>
    <x v="24"/>
    <x v="1"/>
    <x v="1"/>
    <x v="2"/>
    <x v="9"/>
    <x v="1126"/>
    <x v="1135"/>
    <x v="1132"/>
    <x v="1"/>
    <x v="1"/>
    <x v="1"/>
    <x v="1140"/>
    <x v="1"/>
  </r>
  <r>
    <x v="154"/>
    <x v="6"/>
    <x v="0"/>
    <x v="4"/>
    <x v="9"/>
    <x v="1127"/>
    <x v="1136"/>
    <x v="1133"/>
    <x v="1"/>
    <x v="1"/>
    <x v="1"/>
    <x v="1141"/>
    <x v="1"/>
  </r>
  <r>
    <x v="47"/>
    <x v="2"/>
    <x v="0"/>
    <x v="2"/>
    <x v="9"/>
    <x v="1128"/>
    <x v="1137"/>
    <x v="1134"/>
    <x v="1"/>
    <x v="1"/>
    <x v="1"/>
    <x v="1142"/>
    <x v="1"/>
  </r>
  <r>
    <x v="74"/>
    <x v="1"/>
    <x v="0"/>
    <x v="0"/>
    <x v="2"/>
    <x v="1129"/>
    <x v="1138"/>
    <x v="1135"/>
    <x v="1"/>
    <x v="1"/>
    <x v="1"/>
    <x v="1143"/>
    <x v="1"/>
  </r>
  <r>
    <x v="77"/>
    <x v="0"/>
    <x v="0"/>
    <x v="5"/>
    <x v="1"/>
    <x v="40"/>
    <x v="1139"/>
    <x v="1136"/>
    <x v="1"/>
    <x v="1"/>
    <x v="1"/>
    <x v="1144"/>
    <x v="1"/>
  </r>
  <r>
    <x v="36"/>
    <x v="5"/>
    <x v="2"/>
    <x v="2"/>
    <x v="6"/>
    <x v="1130"/>
    <x v="1140"/>
    <x v="1137"/>
    <x v="1"/>
    <x v="1"/>
    <x v="1"/>
    <x v="1145"/>
    <x v="1"/>
  </r>
  <r>
    <x v="168"/>
    <x v="3"/>
    <x v="1"/>
    <x v="4"/>
    <x v="2"/>
    <x v="1131"/>
    <x v="1141"/>
    <x v="1138"/>
    <x v="1"/>
    <x v="1"/>
    <x v="1"/>
    <x v="1146"/>
    <x v="1"/>
  </r>
  <r>
    <x v="152"/>
    <x v="2"/>
    <x v="2"/>
    <x v="0"/>
    <x v="1"/>
    <x v="833"/>
    <x v="1142"/>
    <x v="1139"/>
    <x v="1"/>
    <x v="1"/>
    <x v="1"/>
    <x v="1147"/>
    <x v="1"/>
  </r>
  <r>
    <x v="90"/>
    <x v="5"/>
    <x v="3"/>
    <x v="6"/>
    <x v="9"/>
    <x v="1132"/>
    <x v="1143"/>
    <x v="1140"/>
    <x v="1"/>
    <x v="1"/>
    <x v="1"/>
    <x v="1148"/>
    <x v="1"/>
  </r>
  <r>
    <x v="3"/>
    <x v="1"/>
    <x v="0"/>
    <x v="3"/>
    <x v="6"/>
    <x v="1133"/>
    <x v="1144"/>
    <x v="1141"/>
    <x v="1"/>
    <x v="1"/>
    <x v="1"/>
    <x v="1149"/>
    <x v="1"/>
  </r>
  <r>
    <x v="23"/>
    <x v="2"/>
    <x v="1"/>
    <x v="0"/>
    <x v="1"/>
    <x v="1134"/>
    <x v="1145"/>
    <x v="1142"/>
    <x v="1"/>
    <x v="1"/>
    <x v="1"/>
    <x v="1150"/>
    <x v="1"/>
  </r>
  <r>
    <x v="4"/>
    <x v="2"/>
    <x v="1"/>
    <x v="5"/>
    <x v="7"/>
    <x v="1135"/>
    <x v="1146"/>
    <x v="1143"/>
    <x v="1"/>
    <x v="1"/>
    <x v="1"/>
    <x v="1151"/>
    <x v="1"/>
  </r>
  <r>
    <x v="165"/>
    <x v="3"/>
    <x v="1"/>
    <x v="2"/>
    <x v="9"/>
    <x v="1136"/>
    <x v="1147"/>
    <x v="1144"/>
    <x v="1"/>
    <x v="1"/>
    <x v="1"/>
    <x v="1152"/>
    <x v="1"/>
  </r>
  <r>
    <x v="180"/>
    <x v="6"/>
    <x v="2"/>
    <x v="3"/>
    <x v="1"/>
    <x v="1137"/>
    <x v="1148"/>
    <x v="1145"/>
    <x v="1"/>
    <x v="1"/>
    <x v="1"/>
    <x v="1153"/>
    <x v="1"/>
  </r>
  <r>
    <x v="15"/>
    <x v="3"/>
    <x v="1"/>
    <x v="3"/>
    <x v="2"/>
    <x v="1138"/>
    <x v="1149"/>
    <x v="1146"/>
    <x v="1"/>
    <x v="1"/>
    <x v="1"/>
    <x v="1154"/>
    <x v="1"/>
  </r>
  <r>
    <x v="155"/>
    <x v="6"/>
    <x v="0"/>
    <x v="5"/>
    <x v="1"/>
    <x v="1139"/>
    <x v="1150"/>
    <x v="1147"/>
    <x v="1"/>
    <x v="1"/>
    <x v="1"/>
    <x v="1155"/>
    <x v="1"/>
  </r>
  <r>
    <x v="2"/>
    <x v="1"/>
    <x v="2"/>
    <x v="2"/>
    <x v="5"/>
    <x v="1140"/>
    <x v="1151"/>
    <x v="1148"/>
    <x v="1"/>
    <x v="1"/>
    <x v="1"/>
    <x v="1156"/>
    <x v="1"/>
  </r>
  <r>
    <x v="52"/>
    <x v="2"/>
    <x v="0"/>
    <x v="1"/>
    <x v="2"/>
    <x v="1141"/>
    <x v="1152"/>
    <x v="1149"/>
    <x v="1"/>
    <x v="1"/>
    <x v="1"/>
    <x v="1157"/>
    <x v="1"/>
  </r>
  <r>
    <x v="105"/>
    <x v="5"/>
    <x v="3"/>
    <x v="6"/>
    <x v="7"/>
    <x v="1142"/>
    <x v="1153"/>
    <x v="1150"/>
    <x v="1"/>
    <x v="1"/>
    <x v="1"/>
    <x v="1158"/>
    <x v="1"/>
  </r>
  <r>
    <x v="82"/>
    <x v="4"/>
    <x v="0"/>
    <x v="7"/>
    <x v="7"/>
    <x v="1143"/>
    <x v="1154"/>
    <x v="1151"/>
    <x v="1"/>
    <x v="1"/>
    <x v="1"/>
    <x v="1159"/>
    <x v="1"/>
  </r>
  <r>
    <x v="155"/>
    <x v="5"/>
    <x v="2"/>
    <x v="6"/>
    <x v="4"/>
    <x v="1144"/>
    <x v="1155"/>
    <x v="1152"/>
    <x v="1"/>
    <x v="1"/>
    <x v="1"/>
    <x v="1160"/>
    <x v="1"/>
  </r>
  <r>
    <x v="137"/>
    <x v="2"/>
    <x v="2"/>
    <x v="5"/>
    <x v="1"/>
    <x v="1145"/>
    <x v="1156"/>
    <x v="1153"/>
    <x v="1"/>
    <x v="1"/>
    <x v="1"/>
    <x v="1161"/>
    <x v="1"/>
  </r>
  <r>
    <x v="14"/>
    <x v="4"/>
    <x v="2"/>
    <x v="1"/>
    <x v="7"/>
    <x v="1146"/>
    <x v="1157"/>
    <x v="1154"/>
    <x v="1"/>
    <x v="1"/>
    <x v="1"/>
    <x v="1162"/>
    <x v="1"/>
  </r>
  <r>
    <x v="25"/>
    <x v="2"/>
    <x v="3"/>
    <x v="5"/>
    <x v="5"/>
    <x v="1147"/>
    <x v="1158"/>
    <x v="1155"/>
    <x v="1"/>
    <x v="1"/>
    <x v="1"/>
    <x v="1163"/>
    <x v="1"/>
  </r>
  <r>
    <x v="137"/>
    <x v="5"/>
    <x v="0"/>
    <x v="4"/>
    <x v="4"/>
    <x v="1148"/>
    <x v="1159"/>
    <x v="1156"/>
    <x v="1"/>
    <x v="1"/>
    <x v="1"/>
    <x v="1164"/>
    <x v="1"/>
  </r>
  <r>
    <x v="4"/>
    <x v="6"/>
    <x v="2"/>
    <x v="3"/>
    <x v="9"/>
    <x v="1149"/>
    <x v="1160"/>
    <x v="1157"/>
    <x v="1"/>
    <x v="1"/>
    <x v="1"/>
    <x v="1165"/>
    <x v="1"/>
  </r>
  <r>
    <x v="76"/>
    <x v="6"/>
    <x v="0"/>
    <x v="5"/>
    <x v="2"/>
    <x v="1150"/>
    <x v="1161"/>
    <x v="1158"/>
    <x v="1"/>
    <x v="1"/>
    <x v="1"/>
    <x v="1166"/>
    <x v="1"/>
  </r>
  <r>
    <x v="15"/>
    <x v="3"/>
    <x v="2"/>
    <x v="7"/>
    <x v="4"/>
    <x v="1151"/>
    <x v="1162"/>
    <x v="1159"/>
    <x v="1"/>
    <x v="1"/>
    <x v="1"/>
    <x v="1167"/>
    <x v="1"/>
  </r>
  <r>
    <x v="135"/>
    <x v="3"/>
    <x v="0"/>
    <x v="7"/>
    <x v="3"/>
    <x v="1152"/>
    <x v="1163"/>
    <x v="1160"/>
    <x v="1"/>
    <x v="1"/>
    <x v="1"/>
    <x v="1168"/>
    <x v="1"/>
  </r>
  <r>
    <x v="15"/>
    <x v="5"/>
    <x v="0"/>
    <x v="1"/>
    <x v="7"/>
    <x v="1153"/>
    <x v="1164"/>
    <x v="1161"/>
    <x v="1"/>
    <x v="1"/>
    <x v="1"/>
    <x v="1169"/>
    <x v="1"/>
  </r>
  <r>
    <x v="71"/>
    <x v="1"/>
    <x v="0"/>
    <x v="1"/>
    <x v="2"/>
    <x v="1154"/>
    <x v="1165"/>
    <x v="1162"/>
    <x v="1"/>
    <x v="1"/>
    <x v="1"/>
    <x v="1170"/>
    <x v="1"/>
  </r>
  <r>
    <x v="142"/>
    <x v="1"/>
    <x v="1"/>
    <x v="6"/>
    <x v="4"/>
    <x v="1155"/>
    <x v="1166"/>
    <x v="1163"/>
    <x v="1"/>
    <x v="1"/>
    <x v="1"/>
    <x v="1171"/>
    <x v="1"/>
  </r>
  <r>
    <x v="96"/>
    <x v="4"/>
    <x v="2"/>
    <x v="1"/>
    <x v="2"/>
    <x v="1156"/>
    <x v="1167"/>
    <x v="1164"/>
    <x v="1"/>
    <x v="1"/>
    <x v="1"/>
    <x v="1172"/>
    <x v="1"/>
  </r>
  <r>
    <x v="48"/>
    <x v="3"/>
    <x v="0"/>
    <x v="0"/>
    <x v="2"/>
    <x v="1157"/>
    <x v="1168"/>
    <x v="1165"/>
    <x v="1"/>
    <x v="1"/>
    <x v="1"/>
    <x v="1173"/>
    <x v="1"/>
  </r>
  <r>
    <x v="90"/>
    <x v="2"/>
    <x v="3"/>
    <x v="4"/>
    <x v="8"/>
    <x v="1158"/>
    <x v="1169"/>
    <x v="1166"/>
    <x v="1"/>
    <x v="1"/>
    <x v="1"/>
    <x v="1174"/>
    <x v="1"/>
  </r>
  <r>
    <x v="150"/>
    <x v="4"/>
    <x v="0"/>
    <x v="4"/>
    <x v="2"/>
    <x v="1159"/>
    <x v="1170"/>
    <x v="1167"/>
    <x v="1"/>
    <x v="1"/>
    <x v="1"/>
    <x v="1175"/>
    <x v="1"/>
  </r>
  <r>
    <x v="168"/>
    <x v="6"/>
    <x v="0"/>
    <x v="6"/>
    <x v="9"/>
    <x v="1160"/>
    <x v="1171"/>
    <x v="1168"/>
    <x v="1"/>
    <x v="1"/>
    <x v="1"/>
    <x v="1176"/>
    <x v="1"/>
  </r>
  <r>
    <x v="81"/>
    <x v="2"/>
    <x v="0"/>
    <x v="6"/>
    <x v="8"/>
    <x v="1161"/>
    <x v="1172"/>
    <x v="1169"/>
    <x v="1"/>
    <x v="1"/>
    <x v="1"/>
    <x v="1177"/>
    <x v="1"/>
  </r>
  <r>
    <x v="112"/>
    <x v="4"/>
    <x v="0"/>
    <x v="1"/>
    <x v="6"/>
    <x v="1162"/>
    <x v="1173"/>
    <x v="1170"/>
    <x v="1"/>
    <x v="1"/>
    <x v="1"/>
    <x v="1178"/>
    <x v="1"/>
  </r>
  <r>
    <x v="0"/>
    <x v="1"/>
    <x v="0"/>
    <x v="3"/>
    <x v="0"/>
    <x v="1000"/>
    <x v="1174"/>
    <x v="1171"/>
    <x v="1"/>
    <x v="1"/>
    <x v="1"/>
    <x v="1179"/>
    <x v="1"/>
  </r>
  <r>
    <x v="169"/>
    <x v="5"/>
    <x v="3"/>
    <x v="1"/>
    <x v="2"/>
    <x v="1163"/>
    <x v="1175"/>
    <x v="1172"/>
    <x v="1"/>
    <x v="1"/>
    <x v="1"/>
    <x v="1180"/>
    <x v="1"/>
  </r>
  <r>
    <x v="148"/>
    <x v="1"/>
    <x v="0"/>
    <x v="3"/>
    <x v="0"/>
    <x v="1164"/>
    <x v="1176"/>
    <x v="1173"/>
    <x v="1"/>
    <x v="1"/>
    <x v="1"/>
    <x v="1181"/>
    <x v="1"/>
  </r>
  <r>
    <x v="111"/>
    <x v="5"/>
    <x v="1"/>
    <x v="5"/>
    <x v="1"/>
    <x v="1165"/>
    <x v="1177"/>
    <x v="1174"/>
    <x v="1"/>
    <x v="1"/>
    <x v="1"/>
    <x v="1182"/>
    <x v="1"/>
  </r>
  <r>
    <x v="54"/>
    <x v="6"/>
    <x v="2"/>
    <x v="7"/>
    <x v="7"/>
    <x v="1166"/>
    <x v="1178"/>
    <x v="1175"/>
    <x v="1"/>
    <x v="1"/>
    <x v="1"/>
    <x v="1183"/>
    <x v="1"/>
  </r>
  <r>
    <x v="17"/>
    <x v="1"/>
    <x v="1"/>
    <x v="5"/>
    <x v="4"/>
    <x v="1167"/>
    <x v="1179"/>
    <x v="1176"/>
    <x v="1"/>
    <x v="1"/>
    <x v="1"/>
    <x v="1184"/>
    <x v="1"/>
  </r>
  <r>
    <x v="148"/>
    <x v="5"/>
    <x v="2"/>
    <x v="7"/>
    <x v="7"/>
    <x v="1168"/>
    <x v="1180"/>
    <x v="1177"/>
    <x v="1"/>
    <x v="1"/>
    <x v="1"/>
    <x v="1185"/>
    <x v="1"/>
  </r>
  <r>
    <x v="33"/>
    <x v="0"/>
    <x v="0"/>
    <x v="5"/>
    <x v="1"/>
    <x v="1169"/>
    <x v="1181"/>
    <x v="1178"/>
    <x v="1"/>
    <x v="1"/>
    <x v="1"/>
    <x v="1186"/>
    <x v="1"/>
  </r>
  <r>
    <x v="20"/>
    <x v="5"/>
    <x v="3"/>
    <x v="0"/>
    <x v="1"/>
    <x v="1170"/>
    <x v="1182"/>
    <x v="1179"/>
    <x v="1"/>
    <x v="1"/>
    <x v="1"/>
    <x v="1187"/>
    <x v="1"/>
  </r>
  <r>
    <x v="119"/>
    <x v="4"/>
    <x v="3"/>
    <x v="7"/>
    <x v="0"/>
    <x v="1171"/>
    <x v="1183"/>
    <x v="1180"/>
    <x v="1"/>
    <x v="1"/>
    <x v="1"/>
    <x v="1188"/>
    <x v="1"/>
  </r>
  <r>
    <x v="56"/>
    <x v="0"/>
    <x v="1"/>
    <x v="3"/>
    <x v="2"/>
    <x v="1172"/>
    <x v="1184"/>
    <x v="1181"/>
    <x v="1"/>
    <x v="1"/>
    <x v="1"/>
    <x v="1189"/>
    <x v="1"/>
  </r>
  <r>
    <x v="98"/>
    <x v="4"/>
    <x v="3"/>
    <x v="7"/>
    <x v="2"/>
    <x v="1173"/>
    <x v="1185"/>
    <x v="1182"/>
    <x v="1"/>
    <x v="1"/>
    <x v="1"/>
    <x v="1190"/>
    <x v="1"/>
  </r>
  <r>
    <x v="13"/>
    <x v="2"/>
    <x v="0"/>
    <x v="0"/>
    <x v="4"/>
    <x v="1174"/>
    <x v="1186"/>
    <x v="1183"/>
    <x v="1"/>
    <x v="1"/>
    <x v="1"/>
    <x v="1191"/>
    <x v="1"/>
  </r>
  <r>
    <x v="153"/>
    <x v="0"/>
    <x v="3"/>
    <x v="5"/>
    <x v="4"/>
    <x v="1175"/>
    <x v="1187"/>
    <x v="1184"/>
    <x v="1"/>
    <x v="1"/>
    <x v="1"/>
    <x v="1192"/>
    <x v="1"/>
  </r>
  <r>
    <x v="26"/>
    <x v="2"/>
    <x v="1"/>
    <x v="0"/>
    <x v="8"/>
    <x v="1176"/>
    <x v="1188"/>
    <x v="1185"/>
    <x v="1"/>
    <x v="1"/>
    <x v="1"/>
    <x v="1193"/>
    <x v="1"/>
  </r>
  <r>
    <x v="116"/>
    <x v="5"/>
    <x v="2"/>
    <x v="0"/>
    <x v="3"/>
    <x v="1177"/>
    <x v="1189"/>
    <x v="1186"/>
    <x v="1"/>
    <x v="1"/>
    <x v="1"/>
    <x v="1194"/>
    <x v="1"/>
  </r>
  <r>
    <x v="62"/>
    <x v="4"/>
    <x v="0"/>
    <x v="6"/>
    <x v="2"/>
    <x v="1178"/>
    <x v="1190"/>
    <x v="1187"/>
    <x v="1"/>
    <x v="1"/>
    <x v="1"/>
    <x v="1195"/>
    <x v="1"/>
  </r>
  <r>
    <x v="78"/>
    <x v="4"/>
    <x v="1"/>
    <x v="0"/>
    <x v="1"/>
    <x v="1179"/>
    <x v="1191"/>
    <x v="1188"/>
    <x v="1"/>
    <x v="1"/>
    <x v="1"/>
    <x v="1196"/>
    <x v="1"/>
  </r>
  <r>
    <x v="9"/>
    <x v="4"/>
    <x v="0"/>
    <x v="0"/>
    <x v="9"/>
    <x v="1180"/>
    <x v="1192"/>
    <x v="1189"/>
    <x v="1"/>
    <x v="1"/>
    <x v="1"/>
    <x v="1197"/>
    <x v="1"/>
  </r>
  <r>
    <x v="8"/>
    <x v="2"/>
    <x v="0"/>
    <x v="1"/>
    <x v="8"/>
    <x v="1181"/>
    <x v="1193"/>
    <x v="1190"/>
    <x v="1"/>
    <x v="1"/>
    <x v="1"/>
    <x v="1198"/>
    <x v="1"/>
  </r>
  <r>
    <x v="108"/>
    <x v="6"/>
    <x v="0"/>
    <x v="0"/>
    <x v="7"/>
    <x v="1182"/>
    <x v="1194"/>
    <x v="1191"/>
    <x v="1"/>
    <x v="1"/>
    <x v="1"/>
    <x v="1199"/>
    <x v="1"/>
  </r>
  <r>
    <x v="133"/>
    <x v="1"/>
    <x v="1"/>
    <x v="4"/>
    <x v="2"/>
    <x v="1183"/>
    <x v="1195"/>
    <x v="1192"/>
    <x v="1"/>
    <x v="1"/>
    <x v="1"/>
    <x v="1200"/>
    <x v="1"/>
  </r>
  <r>
    <x v="44"/>
    <x v="3"/>
    <x v="2"/>
    <x v="3"/>
    <x v="5"/>
    <x v="1184"/>
    <x v="1196"/>
    <x v="1193"/>
    <x v="1"/>
    <x v="1"/>
    <x v="1"/>
    <x v="1201"/>
    <x v="1"/>
  </r>
  <r>
    <x v="43"/>
    <x v="2"/>
    <x v="2"/>
    <x v="5"/>
    <x v="2"/>
    <x v="1185"/>
    <x v="1197"/>
    <x v="1194"/>
    <x v="1"/>
    <x v="1"/>
    <x v="1"/>
    <x v="1202"/>
    <x v="1"/>
  </r>
  <r>
    <x v="128"/>
    <x v="3"/>
    <x v="3"/>
    <x v="4"/>
    <x v="1"/>
    <x v="1186"/>
    <x v="1198"/>
    <x v="1195"/>
    <x v="1"/>
    <x v="1"/>
    <x v="1"/>
    <x v="1203"/>
    <x v="1"/>
  </r>
  <r>
    <x v="9"/>
    <x v="0"/>
    <x v="3"/>
    <x v="6"/>
    <x v="6"/>
    <x v="1187"/>
    <x v="1199"/>
    <x v="969"/>
    <x v="1"/>
    <x v="1"/>
    <x v="1"/>
    <x v="1204"/>
    <x v="1"/>
  </r>
  <r>
    <x v="106"/>
    <x v="4"/>
    <x v="3"/>
    <x v="3"/>
    <x v="0"/>
    <x v="1188"/>
    <x v="1200"/>
    <x v="1196"/>
    <x v="1"/>
    <x v="1"/>
    <x v="1"/>
    <x v="1205"/>
    <x v="1"/>
  </r>
  <r>
    <x v="121"/>
    <x v="1"/>
    <x v="0"/>
    <x v="4"/>
    <x v="7"/>
    <x v="1189"/>
    <x v="1201"/>
    <x v="1197"/>
    <x v="1"/>
    <x v="1"/>
    <x v="1"/>
    <x v="1206"/>
    <x v="1"/>
  </r>
  <r>
    <x v="129"/>
    <x v="3"/>
    <x v="1"/>
    <x v="7"/>
    <x v="1"/>
    <x v="1190"/>
    <x v="1202"/>
    <x v="1198"/>
    <x v="1"/>
    <x v="1"/>
    <x v="1"/>
    <x v="1207"/>
    <x v="1"/>
  </r>
  <r>
    <x v="20"/>
    <x v="6"/>
    <x v="1"/>
    <x v="2"/>
    <x v="0"/>
    <x v="1191"/>
    <x v="1203"/>
    <x v="1199"/>
    <x v="1"/>
    <x v="1"/>
    <x v="1"/>
    <x v="1208"/>
    <x v="1"/>
  </r>
  <r>
    <x v="42"/>
    <x v="3"/>
    <x v="1"/>
    <x v="3"/>
    <x v="2"/>
    <x v="1192"/>
    <x v="1204"/>
    <x v="1200"/>
    <x v="1"/>
    <x v="1"/>
    <x v="1"/>
    <x v="1209"/>
    <x v="1"/>
  </r>
  <r>
    <x v="139"/>
    <x v="2"/>
    <x v="1"/>
    <x v="0"/>
    <x v="2"/>
    <x v="1193"/>
    <x v="1205"/>
    <x v="1201"/>
    <x v="1"/>
    <x v="1"/>
    <x v="1"/>
    <x v="1210"/>
    <x v="1"/>
  </r>
  <r>
    <x v="39"/>
    <x v="3"/>
    <x v="0"/>
    <x v="3"/>
    <x v="9"/>
    <x v="1194"/>
    <x v="1206"/>
    <x v="1202"/>
    <x v="1"/>
    <x v="1"/>
    <x v="1"/>
    <x v="1211"/>
    <x v="1"/>
  </r>
  <r>
    <x v="6"/>
    <x v="1"/>
    <x v="2"/>
    <x v="6"/>
    <x v="7"/>
    <x v="1195"/>
    <x v="1207"/>
    <x v="1203"/>
    <x v="1"/>
    <x v="1"/>
    <x v="1"/>
    <x v="1212"/>
    <x v="1"/>
  </r>
  <r>
    <x v="96"/>
    <x v="6"/>
    <x v="3"/>
    <x v="3"/>
    <x v="2"/>
    <x v="1196"/>
    <x v="1208"/>
    <x v="1204"/>
    <x v="1"/>
    <x v="1"/>
    <x v="1"/>
    <x v="1213"/>
    <x v="1"/>
  </r>
  <r>
    <x v="70"/>
    <x v="6"/>
    <x v="1"/>
    <x v="2"/>
    <x v="8"/>
    <x v="1197"/>
    <x v="1209"/>
    <x v="1205"/>
    <x v="1"/>
    <x v="1"/>
    <x v="1"/>
    <x v="1214"/>
    <x v="1"/>
  </r>
  <r>
    <x v="130"/>
    <x v="5"/>
    <x v="2"/>
    <x v="5"/>
    <x v="2"/>
    <x v="1198"/>
    <x v="1210"/>
    <x v="1206"/>
    <x v="1"/>
    <x v="1"/>
    <x v="1"/>
    <x v="1215"/>
    <x v="1"/>
  </r>
  <r>
    <x v="76"/>
    <x v="4"/>
    <x v="3"/>
    <x v="3"/>
    <x v="6"/>
    <x v="1199"/>
    <x v="1211"/>
    <x v="1207"/>
    <x v="1"/>
    <x v="1"/>
    <x v="1"/>
    <x v="1216"/>
    <x v="1"/>
  </r>
  <r>
    <x v="41"/>
    <x v="5"/>
    <x v="3"/>
    <x v="0"/>
    <x v="4"/>
    <x v="1200"/>
    <x v="1212"/>
    <x v="1208"/>
    <x v="1"/>
    <x v="1"/>
    <x v="1"/>
    <x v="1217"/>
    <x v="1"/>
  </r>
  <r>
    <x v="44"/>
    <x v="1"/>
    <x v="3"/>
    <x v="3"/>
    <x v="4"/>
    <x v="1201"/>
    <x v="1213"/>
    <x v="1209"/>
    <x v="1"/>
    <x v="1"/>
    <x v="1"/>
    <x v="1218"/>
    <x v="1"/>
  </r>
  <r>
    <x v="99"/>
    <x v="4"/>
    <x v="3"/>
    <x v="0"/>
    <x v="7"/>
    <x v="1202"/>
    <x v="1214"/>
    <x v="1210"/>
    <x v="1"/>
    <x v="1"/>
    <x v="1"/>
    <x v="1219"/>
    <x v="1"/>
  </r>
  <r>
    <x v="111"/>
    <x v="3"/>
    <x v="2"/>
    <x v="2"/>
    <x v="6"/>
    <x v="1203"/>
    <x v="1215"/>
    <x v="1211"/>
    <x v="1"/>
    <x v="1"/>
    <x v="1"/>
    <x v="1220"/>
    <x v="1"/>
  </r>
  <r>
    <x v="150"/>
    <x v="0"/>
    <x v="3"/>
    <x v="7"/>
    <x v="0"/>
    <x v="1204"/>
    <x v="1216"/>
    <x v="1212"/>
    <x v="1"/>
    <x v="1"/>
    <x v="1"/>
    <x v="1221"/>
    <x v="1"/>
  </r>
  <r>
    <x v="77"/>
    <x v="6"/>
    <x v="3"/>
    <x v="7"/>
    <x v="6"/>
    <x v="1205"/>
    <x v="1217"/>
    <x v="1213"/>
    <x v="1"/>
    <x v="1"/>
    <x v="1"/>
    <x v="1222"/>
    <x v="1"/>
  </r>
  <r>
    <x v="70"/>
    <x v="2"/>
    <x v="1"/>
    <x v="3"/>
    <x v="1"/>
    <x v="1206"/>
    <x v="1218"/>
    <x v="1214"/>
    <x v="1"/>
    <x v="1"/>
    <x v="1"/>
    <x v="1223"/>
    <x v="1"/>
  </r>
  <r>
    <x v="55"/>
    <x v="1"/>
    <x v="1"/>
    <x v="7"/>
    <x v="6"/>
    <x v="1207"/>
    <x v="1219"/>
    <x v="1215"/>
    <x v="1"/>
    <x v="1"/>
    <x v="1"/>
    <x v="1224"/>
    <x v="1"/>
  </r>
  <r>
    <x v="135"/>
    <x v="3"/>
    <x v="0"/>
    <x v="0"/>
    <x v="0"/>
    <x v="1208"/>
    <x v="1220"/>
    <x v="1216"/>
    <x v="1"/>
    <x v="1"/>
    <x v="1"/>
    <x v="1225"/>
    <x v="1"/>
  </r>
  <r>
    <x v="76"/>
    <x v="2"/>
    <x v="3"/>
    <x v="4"/>
    <x v="7"/>
    <x v="1209"/>
    <x v="1221"/>
    <x v="1217"/>
    <x v="1"/>
    <x v="1"/>
    <x v="1"/>
    <x v="1226"/>
    <x v="1"/>
  </r>
  <r>
    <x v="90"/>
    <x v="1"/>
    <x v="1"/>
    <x v="4"/>
    <x v="6"/>
    <x v="1210"/>
    <x v="1222"/>
    <x v="1218"/>
    <x v="1"/>
    <x v="1"/>
    <x v="1"/>
    <x v="1227"/>
    <x v="1"/>
  </r>
  <r>
    <x v="113"/>
    <x v="2"/>
    <x v="3"/>
    <x v="0"/>
    <x v="6"/>
    <x v="1211"/>
    <x v="1223"/>
    <x v="1219"/>
    <x v="1"/>
    <x v="1"/>
    <x v="1"/>
    <x v="1228"/>
    <x v="1"/>
  </r>
  <r>
    <x v="173"/>
    <x v="6"/>
    <x v="3"/>
    <x v="0"/>
    <x v="4"/>
    <x v="1212"/>
    <x v="1224"/>
    <x v="1220"/>
    <x v="1"/>
    <x v="1"/>
    <x v="1"/>
    <x v="1229"/>
    <x v="1"/>
  </r>
  <r>
    <x v="13"/>
    <x v="4"/>
    <x v="3"/>
    <x v="2"/>
    <x v="8"/>
    <x v="1213"/>
    <x v="1225"/>
    <x v="1221"/>
    <x v="1"/>
    <x v="1"/>
    <x v="1"/>
    <x v="1230"/>
    <x v="1"/>
  </r>
  <r>
    <x v="38"/>
    <x v="5"/>
    <x v="1"/>
    <x v="6"/>
    <x v="8"/>
    <x v="1214"/>
    <x v="1226"/>
    <x v="1222"/>
    <x v="1"/>
    <x v="1"/>
    <x v="1"/>
    <x v="1231"/>
    <x v="1"/>
  </r>
  <r>
    <x v="139"/>
    <x v="6"/>
    <x v="3"/>
    <x v="5"/>
    <x v="9"/>
    <x v="147"/>
    <x v="147"/>
    <x v="1223"/>
    <x v="1"/>
    <x v="1"/>
    <x v="1"/>
    <x v="1232"/>
    <x v="1"/>
  </r>
  <r>
    <x v="77"/>
    <x v="6"/>
    <x v="3"/>
    <x v="0"/>
    <x v="7"/>
    <x v="1215"/>
    <x v="1227"/>
    <x v="1224"/>
    <x v="1"/>
    <x v="1"/>
    <x v="1"/>
    <x v="1233"/>
    <x v="1"/>
  </r>
  <r>
    <x v="99"/>
    <x v="6"/>
    <x v="1"/>
    <x v="2"/>
    <x v="7"/>
    <x v="1216"/>
    <x v="1228"/>
    <x v="1225"/>
    <x v="1"/>
    <x v="1"/>
    <x v="1"/>
    <x v="1234"/>
    <x v="1"/>
  </r>
  <r>
    <x v="94"/>
    <x v="3"/>
    <x v="3"/>
    <x v="1"/>
    <x v="0"/>
    <x v="1217"/>
    <x v="1229"/>
    <x v="1226"/>
    <x v="1"/>
    <x v="1"/>
    <x v="1"/>
    <x v="1235"/>
    <x v="1"/>
  </r>
  <r>
    <x v="9"/>
    <x v="6"/>
    <x v="1"/>
    <x v="0"/>
    <x v="6"/>
    <x v="1218"/>
    <x v="1230"/>
    <x v="1227"/>
    <x v="1"/>
    <x v="1"/>
    <x v="1"/>
    <x v="1236"/>
    <x v="1"/>
  </r>
  <r>
    <x v="52"/>
    <x v="0"/>
    <x v="3"/>
    <x v="6"/>
    <x v="4"/>
    <x v="1219"/>
    <x v="1231"/>
    <x v="1228"/>
    <x v="1"/>
    <x v="1"/>
    <x v="1"/>
    <x v="1237"/>
    <x v="1"/>
  </r>
  <r>
    <x v="135"/>
    <x v="5"/>
    <x v="1"/>
    <x v="5"/>
    <x v="4"/>
    <x v="1220"/>
    <x v="1232"/>
    <x v="1229"/>
    <x v="1"/>
    <x v="1"/>
    <x v="1"/>
    <x v="1238"/>
    <x v="1"/>
  </r>
  <r>
    <x v="143"/>
    <x v="6"/>
    <x v="1"/>
    <x v="5"/>
    <x v="3"/>
    <x v="1221"/>
    <x v="1233"/>
    <x v="1230"/>
    <x v="1"/>
    <x v="1"/>
    <x v="1"/>
    <x v="1239"/>
    <x v="1"/>
  </r>
  <r>
    <x v="29"/>
    <x v="3"/>
    <x v="2"/>
    <x v="5"/>
    <x v="2"/>
    <x v="1222"/>
    <x v="1234"/>
    <x v="1231"/>
    <x v="1"/>
    <x v="1"/>
    <x v="1"/>
    <x v="1240"/>
    <x v="1"/>
  </r>
  <r>
    <x v="114"/>
    <x v="2"/>
    <x v="0"/>
    <x v="0"/>
    <x v="7"/>
    <x v="1223"/>
    <x v="1235"/>
    <x v="1232"/>
    <x v="1"/>
    <x v="1"/>
    <x v="1"/>
    <x v="1241"/>
    <x v="1"/>
  </r>
  <r>
    <x v="9"/>
    <x v="6"/>
    <x v="2"/>
    <x v="1"/>
    <x v="3"/>
    <x v="1224"/>
    <x v="1236"/>
    <x v="1233"/>
    <x v="1"/>
    <x v="1"/>
    <x v="1"/>
    <x v="1242"/>
    <x v="1"/>
  </r>
  <r>
    <x v="166"/>
    <x v="3"/>
    <x v="3"/>
    <x v="4"/>
    <x v="7"/>
    <x v="1225"/>
    <x v="1237"/>
    <x v="1234"/>
    <x v="1"/>
    <x v="1"/>
    <x v="1"/>
    <x v="1243"/>
    <x v="1"/>
  </r>
  <r>
    <x v="150"/>
    <x v="3"/>
    <x v="2"/>
    <x v="6"/>
    <x v="1"/>
    <x v="1226"/>
    <x v="1238"/>
    <x v="1235"/>
    <x v="1"/>
    <x v="1"/>
    <x v="1"/>
    <x v="1244"/>
    <x v="1"/>
  </r>
  <r>
    <x v="132"/>
    <x v="4"/>
    <x v="2"/>
    <x v="0"/>
    <x v="1"/>
    <x v="1227"/>
    <x v="1239"/>
    <x v="639"/>
    <x v="1"/>
    <x v="1"/>
    <x v="1"/>
    <x v="1245"/>
    <x v="1"/>
  </r>
  <r>
    <x v="121"/>
    <x v="5"/>
    <x v="1"/>
    <x v="2"/>
    <x v="2"/>
    <x v="1228"/>
    <x v="1240"/>
    <x v="1236"/>
    <x v="1"/>
    <x v="1"/>
    <x v="1"/>
    <x v="1246"/>
    <x v="1"/>
  </r>
  <r>
    <x v="14"/>
    <x v="3"/>
    <x v="0"/>
    <x v="5"/>
    <x v="3"/>
    <x v="1229"/>
    <x v="1241"/>
    <x v="1237"/>
    <x v="1"/>
    <x v="1"/>
    <x v="1"/>
    <x v="1247"/>
    <x v="1"/>
  </r>
  <r>
    <x v="57"/>
    <x v="1"/>
    <x v="3"/>
    <x v="3"/>
    <x v="8"/>
    <x v="1230"/>
    <x v="1242"/>
    <x v="1238"/>
    <x v="1"/>
    <x v="1"/>
    <x v="1"/>
    <x v="1248"/>
    <x v="1"/>
  </r>
  <r>
    <x v="71"/>
    <x v="4"/>
    <x v="3"/>
    <x v="3"/>
    <x v="0"/>
    <x v="1231"/>
    <x v="1243"/>
    <x v="1239"/>
    <x v="1"/>
    <x v="1"/>
    <x v="1"/>
    <x v="1249"/>
    <x v="1"/>
  </r>
  <r>
    <x v="105"/>
    <x v="1"/>
    <x v="1"/>
    <x v="3"/>
    <x v="9"/>
    <x v="1232"/>
    <x v="1244"/>
    <x v="1240"/>
    <x v="1"/>
    <x v="1"/>
    <x v="1"/>
    <x v="1250"/>
    <x v="1"/>
  </r>
  <r>
    <x v="68"/>
    <x v="6"/>
    <x v="1"/>
    <x v="5"/>
    <x v="0"/>
    <x v="1233"/>
    <x v="1245"/>
    <x v="1241"/>
    <x v="1"/>
    <x v="1"/>
    <x v="1"/>
    <x v="1251"/>
    <x v="1"/>
  </r>
  <r>
    <x v="36"/>
    <x v="3"/>
    <x v="2"/>
    <x v="1"/>
    <x v="0"/>
    <x v="1234"/>
    <x v="1246"/>
    <x v="1242"/>
    <x v="1"/>
    <x v="1"/>
    <x v="1"/>
    <x v="1252"/>
    <x v="1"/>
  </r>
  <r>
    <x v="93"/>
    <x v="6"/>
    <x v="1"/>
    <x v="5"/>
    <x v="7"/>
    <x v="1235"/>
    <x v="1247"/>
    <x v="1243"/>
    <x v="1"/>
    <x v="1"/>
    <x v="1"/>
    <x v="1253"/>
    <x v="1"/>
  </r>
  <r>
    <x v="167"/>
    <x v="4"/>
    <x v="2"/>
    <x v="4"/>
    <x v="0"/>
    <x v="1236"/>
    <x v="1248"/>
    <x v="1244"/>
    <x v="1"/>
    <x v="1"/>
    <x v="1"/>
    <x v="1254"/>
    <x v="1"/>
  </r>
  <r>
    <x v="43"/>
    <x v="6"/>
    <x v="0"/>
    <x v="5"/>
    <x v="9"/>
    <x v="1237"/>
    <x v="1249"/>
    <x v="1245"/>
    <x v="1"/>
    <x v="1"/>
    <x v="1"/>
    <x v="1255"/>
    <x v="1"/>
  </r>
  <r>
    <x v="48"/>
    <x v="4"/>
    <x v="3"/>
    <x v="7"/>
    <x v="7"/>
    <x v="1238"/>
    <x v="1250"/>
    <x v="1246"/>
    <x v="1"/>
    <x v="1"/>
    <x v="1"/>
    <x v="1256"/>
    <x v="1"/>
  </r>
  <r>
    <x v="143"/>
    <x v="2"/>
    <x v="1"/>
    <x v="4"/>
    <x v="0"/>
    <x v="1239"/>
    <x v="1251"/>
    <x v="1247"/>
    <x v="1"/>
    <x v="1"/>
    <x v="1"/>
    <x v="1257"/>
    <x v="1"/>
  </r>
  <r>
    <x v="176"/>
    <x v="3"/>
    <x v="0"/>
    <x v="6"/>
    <x v="4"/>
    <x v="1240"/>
    <x v="1252"/>
    <x v="1248"/>
    <x v="1"/>
    <x v="1"/>
    <x v="1"/>
    <x v="1258"/>
    <x v="1"/>
  </r>
  <r>
    <x v="28"/>
    <x v="0"/>
    <x v="2"/>
    <x v="0"/>
    <x v="8"/>
    <x v="1241"/>
    <x v="1253"/>
    <x v="1249"/>
    <x v="1"/>
    <x v="1"/>
    <x v="1"/>
    <x v="1259"/>
    <x v="1"/>
  </r>
  <r>
    <x v="172"/>
    <x v="2"/>
    <x v="2"/>
    <x v="4"/>
    <x v="4"/>
    <x v="1242"/>
    <x v="1254"/>
    <x v="1250"/>
    <x v="1"/>
    <x v="1"/>
    <x v="1"/>
    <x v="1260"/>
    <x v="1"/>
  </r>
  <r>
    <x v="2"/>
    <x v="6"/>
    <x v="1"/>
    <x v="1"/>
    <x v="8"/>
    <x v="1243"/>
    <x v="1255"/>
    <x v="1251"/>
    <x v="1"/>
    <x v="1"/>
    <x v="1"/>
    <x v="1261"/>
    <x v="1"/>
  </r>
  <r>
    <x v="5"/>
    <x v="4"/>
    <x v="3"/>
    <x v="5"/>
    <x v="9"/>
    <x v="1244"/>
    <x v="1256"/>
    <x v="1252"/>
    <x v="1"/>
    <x v="1"/>
    <x v="1"/>
    <x v="1262"/>
    <x v="1"/>
  </r>
  <r>
    <x v="24"/>
    <x v="6"/>
    <x v="1"/>
    <x v="4"/>
    <x v="3"/>
    <x v="1245"/>
    <x v="1257"/>
    <x v="1253"/>
    <x v="1"/>
    <x v="1"/>
    <x v="1"/>
    <x v="1263"/>
    <x v="1"/>
  </r>
  <r>
    <x v="113"/>
    <x v="6"/>
    <x v="1"/>
    <x v="2"/>
    <x v="6"/>
    <x v="1246"/>
    <x v="1258"/>
    <x v="1254"/>
    <x v="1"/>
    <x v="1"/>
    <x v="1"/>
    <x v="1264"/>
    <x v="1"/>
  </r>
  <r>
    <x v="142"/>
    <x v="2"/>
    <x v="0"/>
    <x v="4"/>
    <x v="8"/>
    <x v="1247"/>
    <x v="1259"/>
    <x v="1255"/>
    <x v="1"/>
    <x v="1"/>
    <x v="1"/>
    <x v="1265"/>
    <x v="1"/>
  </r>
  <r>
    <x v="168"/>
    <x v="3"/>
    <x v="3"/>
    <x v="4"/>
    <x v="3"/>
    <x v="1248"/>
    <x v="1260"/>
    <x v="1256"/>
    <x v="1"/>
    <x v="1"/>
    <x v="1"/>
    <x v="1266"/>
    <x v="1"/>
  </r>
  <r>
    <x v="110"/>
    <x v="6"/>
    <x v="2"/>
    <x v="4"/>
    <x v="0"/>
    <x v="1249"/>
    <x v="1261"/>
    <x v="1257"/>
    <x v="1"/>
    <x v="1"/>
    <x v="1"/>
    <x v="1267"/>
    <x v="1"/>
  </r>
  <r>
    <x v="114"/>
    <x v="4"/>
    <x v="2"/>
    <x v="6"/>
    <x v="2"/>
    <x v="1250"/>
    <x v="1262"/>
    <x v="1258"/>
    <x v="1"/>
    <x v="1"/>
    <x v="1"/>
    <x v="1268"/>
    <x v="1"/>
  </r>
  <r>
    <x v="114"/>
    <x v="5"/>
    <x v="1"/>
    <x v="4"/>
    <x v="8"/>
    <x v="1251"/>
    <x v="1263"/>
    <x v="1259"/>
    <x v="1"/>
    <x v="1"/>
    <x v="1"/>
    <x v="1269"/>
    <x v="1"/>
  </r>
  <r>
    <x v="48"/>
    <x v="4"/>
    <x v="3"/>
    <x v="2"/>
    <x v="0"/>
    <x v="1252"/>
    <x v="1264"/>
    <x v="1260"/>
    <x v="1"/>
    <x v="1"/>
    <x v="1"/>
    <x v="1270"/>
    <x v="1"/>
  </r>
  <r>
    <x v="104"/>
    <x v="4"/>
    <x v="1"/>
    <x v="0"/>
    <x v="8"/>
    <x v="1253"/>
    <x v="1265"/>
    <x v="1261"/>
    <x v="1"/>
    <x v="1"/>
    <x v="1"/>
    <x v="1271"/>
    <x v="1"/>
  </r>
  <r>
    <x v="170"/>
    <x v="2"/>
    <x v="3"/>
    <x v="1"/>
    <x v="6"/>
    <x v="1254"/>
    <x v="1266"/>
    <x v="1262"/>
    <x v="1"/>
    <x v="1"/>
    <x v="1"/>
    <x v="1272"/>
    <x v="1"/>
  </r>
  <r>
    <x v="18"/>
    <x v="4"/>
    <x v="1"/>
    <x v="7"/>
    <x v="8"/>
    <x v="1255"/>
    <x v="1267"/>
    <x v="1263"/>
    <x v="1"/>
    <x v="1"/>
    <x v="1"/>
    <x v="1273"/>
    <x v="1"/>
  </r>
  <r>
    <x v="2"/>
    <x v="6"/>
    <x v="1"/>
    <x v="0"/>
    <x v="4"/>
    <x v="1256"/>
    <x v="1268"/>
    <x v="1264"/>
    <x v="1"/>
    <x v="1"/>
    <x v="1"/>
    <x v="1274"/>
    <x v="1"/>
  </r>
  <r>
    <x v="151"/>
    <x v="0"/>
    <x v="2"/>
    <x v="6"/>
    <x v="3"/>
    <x v="1257"/>
    <x v="1269"/>
    <x v="1265"/>
    <x v="1"/>
    <x v="1"/>
    <x v="1"/>
    <x v="1275"/>
    <x v="1"/>
  </r>
  <r>
    <x v="52"/>
    <x v="2"/>
    <x v="1"/>
    <x v="0"/>
    <x v="5"/>
    <x v="1258"/>
    <x v="1270"/>
    <x v="1266"/>
    <x v="1"/>
    <x v="1"/>
    <x v="1"/>
    <x v="1276"/>
    <x v="1"/>
  </r>
  <r>
    <x v="51"/>
    <x v="5"/>
    <x v="0"/>
    <x v="3"/>
    <x v="1"/>
    <x v="1259"/>
    <x v="1271"/>
    <x v="1267"/>
    <x v="1"/>
    <x v="1"/>
    <x v="1"/>
    <x v="1277"/>
    <x v="1"/>
  </r>
  <r>
    <x v="17"/>
    <x v="3"/>
    <x v="1"/>
    <x v="3"/>
    <x v="6"/>
    <x v="1260"/>
    <x v="1272"/>
    <x v="1268"/>
    <x v="1"/>
    <x v="1"/>
    <x v="1"/>
    <x v="1278"/>
    <x v="1"/>
  </r>
  <r>
    <x v="176"/>
    <x v="0"/>
    <x v="1"/>
    <x v="6"/>
    <x v="5"/>
    <x v="1261"/>
    <x v="1273"/>
    <x v="1269"/>
    <x v="1"/>
    <x v="1"/>
    <x v="1"/>
    <x v="1279"/>
    <x v="1"/>
  </r>
  <r>
    <x v="54"/>
    <x v="0"/>
    <x v="3"/>
    <x v="3"/>
    <x v="4"/>
    <x v="1262"/>
    <x v="1274"/>
    <x v="1270"/>
    <x v="1"/>
    <x v="1"/>
    <x v="1"/>
    <x v="1280"/>
    <x v="1"/>
  </r>
  <r>
    <x v="111"/>
    <x v="6"/>
    <x v="2"/>
    <x v="2"/>
    <x v="4"/>
    <x v="1263"/>
    <x v="1275"/>
    <x v="1271"/>
    <x v="1"/>
    <x v="1"/>
    <x v="1"/>
    <x v="1281"/>
    <x v="1"/>
  </r>
  <r>
    <x v="63"/>
    <x v="5"/>
    <x v="3"/>
    <x v="4"/>
    <x v="7"/>
    <x v="1264"/>
    <x v="1276"/>
    <x v="1272"/>
    <x v="1"/>
    <x v="1"/>
    <x v="1"/>
    <x v="1282"/>
    <x v="1"/>
  </r>
  <r>
    <x v="154"/>
    <x v="4"/>
    <x v="3"/>
    <x v="0"/>
    <x v="8"/>
    <x v="1265"/>
    <x v="1277"/>
    <x v="1273"/>
    <x v="1"/>
    <x v="1"/>
    <x v="1"/>
    <x v="1283"/>
    <x v="1"/>
  </r>
  <r>
    <x v="36"/>
    <x v="0"/>
    <x v="3"/>
    <x v="6"/>
    <x v="2"/>
    <x v="1266"/>
    <x v="1278"/>
    <x v="1274"/>
    <x v="1"/>
    <x v="1"/>
    <x v="1"/>
    <x v="1284"/>
    <x v="1"/>
  </r>
  <r>
    <x v="47"/>
    <x v="6"/>
    <x v="0"/>
    <x v="7"/>
    <x v="0"/>
    <x v="1267"/>
    <x v="1279"/>
    <x v="1275"/>
    <x v="1"/>
    <x v="1"/>
    <x v="1"/>
    <x v="1285"/>
    <x v="1"/>
  </r>
  <r>
    <x v="109"/>
    <x v="0"/>
    <x v="3"/>
    <x v="2"/>
    <x v="0"/>
    <x v="1268"/>
    <x v="1280"/>
    <x v="1276"/>
    <x v="1"/>
    <x v="1"/>
    <x v="1"/>
    <x v="1286"/>
    <x v="1"/>
  </r>
  <r>
    <x v="33"/>
    <x v="2"/>
    <x v="1"/>
    <x v="5"/>
    <x v="2"/>
    <x v="1269"/>
    <x v="1281"/>
    <x v="1277"/>
    <x v="1"/>
    <x v="1"/>
    <x v="1"/>
    <x v="1287"/>
    <x v="1"/>
  </r>
  <r>
    <x v="153"/>
    <x v="1"/>
    <x v="3"/>
    <x v="5"/>
    <x v="9"/>
    <x v="1270"/>
    <x v="1282"/>
    <x v="1278"/>
    <x v="1"/>
    <x v="1"/>
    <x v="1"/>
    <x v="1288"/>
    <x v="1"/>
  </r>
  <r>
    <x v="82"/>
    <x v="4"/>
    <x v="2"/>
    <x v="7"/>
    <x v="6"/>
    <x v="1271"/>
    <x v="1283"/>
    <x v="1279"/>
    <x v="1"/>
    <x v="1"/>
    <x v="1"/>
    <x v="1289"/>
    <x v="1"/>
  </r>
  <r>
    <x v="128"/>
    <x v="3"/>
    <x v="1"/>
    <x v="7"/>
    <x v="9"/>
    <x v="1272"/>
    <x v="1284"/>
    <x v="1280"/>
    <x v="1"/>
    <x v="1"/>
    <x v="1"/>
    <x v="1290"/>
    <x v="1"/>
  </r>
  <r>
    <x v="85"/>
    <x v="1"/>
    <x v="1"/>
    <x v="2"/>
    <x v="7"/>
    <x v="1273"/>
    <x v="1285"/>
    <x v="1281"/>
    <x v="1"/>
    <x v="1"/>
    <x v="1"/>
    <x v="1291"/>
    <x v="1"/>
  </r>
  <r>
    <x v="81"/>
    <x v="5"/>
    <x v="2"/>
    <x v="6"/>
    <x v="1"/>
    <x v="1274"/>
    <x v="1286"/>
    <x v="1282"/>
    <x v="1"/>
    <x v="1"/>
    <x v="1"/>
    <x v="1292"/>
    <x v="1"/>
  </r>
  <r>
    <x v="89"/>
    <x v="3"/>
    <x v="3"/>
    <x v="1"/>
    <x v="6"/>
    <x v="1275"/>
    <x v="1287"/>
    <x v="1283"/>
    <x v="1"/>
    <x v="1"/>
    <x v="1"/>
    <x v="1293"/>
    <x v="1"/>
  </r>
  <r>
    <x v="58"/>
    <x v="2"/>
    <x v="2"/>
    <x v="5"/>
    <x v="2"/>
    <x v="1276"/>
    <x v="1288"/>
    <x v="1284"/>
    <x v="1"/>
    <x v="1"/>
    <x v="1"/>
    <x v="1294"/>
    <x v="1"/>
  </r>
  <r>
    <x v="171"/>
    <x v="2"/>
    <x v="2"/>
    <x v="4"/>
    <x v="2"/>
    <x v="1277"/>
    <x v="1289"/>
    <x v="1285"/>
    <x v="1"/>
    <x v="1"/>
    <x v="1"/>
    <x v="1295"/>
    <x v="1"/>
  </r>
  <r>
    <x v="81"/>
    <x v="3"/>
    <x v="2"/>
    <x v="5"/>
    <x v="8"/>
    <x v="1278"/>
    <x v="1290"/>
    <x v="1286"/>
    <x v="1"/>
    <x v="1"/>
    <x v="1"/>
    <x v="1296"/>
    <x v="1"/>
  </r>
  <r>
    <x v="92"/>
    <x v="3"/>
    <x v="3"/>
    <x v="5"/>
    <x v="7"/>
    <x v="665"/>
    <x v="1291"/>
    <x v="1287"/>
    <x v="1"/>
    <x v="1"/>
    <x v="1"/>
    <x v="1297"/>
    <x v="1"/>
  </r>
  <r>
    <x v="53"/>
    <x v="2"/>
    <x v="1"/>
    <x v="6"/>
    <x v="6"/>
    <x v="1279"/>
    <x v="1292"/>
    <x v="1288"/>
    <x v="1"/>
    <x v="1"/>
    <x v="1"/>
    <x v="1298"/>
    <x v="1"/>
  </r>
  <r>
    <x v="47"/>
    <x v="0"/>
    <x v="0"/>
    <x v="4"/>
    <x v="4"/>
    <x v="1280"/>
    <x v="1293"/>
    <x v="1289"/>
    <x v="1"/>
    <x v="1"/>
    <x v="1"/>
    <x v="1299"/>
    <x v="1"/>
  </r>
  <r>
    <x v="125"/>
    <x v="3"/>
    <x v="1"/>
    <x v="4"/>
    <x v="8"/>
    <x v="1281"/>
    <x v="1294"/>
    <x v="1290"/>
    <x v="1"/>
    <x v="1"/>
    <x v="1"/>
    <x v="1300"/>
    <x v="1"/>
  </r>
  <r>
    <x v="175"/>
    <x v="5"/>
    <x v="0"/>
    <x v="7"/>
    <x v="4"/>
    <x v="1282"/>
    <x v="1295"/>
    <x v="1291"/>
    <x v="1"/>
    <x v="1"/>
    <x v="1"/>
    <x v="1301"/>
    <x v="1"/>
  </r>
  <r>
    <x v="77"/>
    <x v="4"/>
    <x v="3"/>
    <x v="6"/>
    <x v="8"/>
    <x v="1283"/>
    <x v="1296"/>
    <x v="1292"/>
    <x v="1"/>
    <x v="1"/>
    <x v="1"/>
    <x v="1302"/>
    <x v="1"/>
  </r>
  <r>
    <x v="117"/>
    <x v="5"/>
    <x v="1"/>
    <x v="3"/>
    <x v="2"/>
    <x v="1284"/>
    <x v="1297"/>
    <x v="1293"/>
    <x v="1"/>
    <x v="1"/>
    <x v="1"/>
    <x v="1303"/>
    <x v="1"/>
  </r>
  <r>
    <x v="43"/>
    <x v="5"/>
    <x v="0"/>
    <x v="1"/>
    <x v="6"/>
    <x v="1285"/>
    <x v="1298"/>
    <x v="1294"/>
    <x v="1"/>
    <x v="1"/>
    <x v="1"/>
    <x v="1304"/>
    <x v="1"/>
  </r>
  <r>
    <x v="0"/>
    <x v="0"/>
    <x v="1"/>
    <x v="7"/>
    <x v="2"/>
    <x v="1286"/>
    <x v="1299"/>
    <x v="1295"/>
    <x v="1"/>
    <x v="1"/>
    <x v="1"/>
    <x v="1305"/>
    <x v="1"/>
  </r>
  <r>
    <x v="139"/>
    <x v="3"/>
    <x v="3"/>
    <x v="3"/>
    <x v="3"/>
    <x v="1287"/>
    <x v="105"/>
    <x v="1296"/>
    <x v="1"/>
    <x v="1"/>
    <x v="1"/>
    <x v="1306"/>
    <x v="1"/>
  </r>
  <r>
    <x v="46"/>
    <x v="6"/>
    <x v="0"/>
    <x v="5"/>
    <x v="5"/>
    <x v="1288"/>
    <x v="1300"/>
    <x v="1297"/>
    <x v="1"/>
    <x v="1"/>
    <x v="1"/>
    <x v="1307"/>
    <x v="1"/>
  </r>
  <r>
    <x v="176"/>
    <x v="6"/>
    <x v="1"/>
    <x v="7"/>
    <x v="2"/>
    <x v="1289"/>
    <x v="1301"/>
    <x v="1298"/>
    <x v="1"/>
    <x v="1"/>
    <x v="1"/>
    <x v="1308"/>
    <x v="1"/>
  </r>
  <r>
    <x v="83"/>
    <x v="4"/>
    <x v="2"/>
    <x v="3"/>
    <x v="8"/>
    <x v="1290"/>
    <x v="1302"/>
    <x v="1299"/>
    <x v="1"/>
    <x v="1"/>
    <x v="1"/>
    <x v="1309"/>
    <x v="1"/>
  </r>
  <r>
    <x v="74"/>
    <x v="5"/>
    <x v="1"/>
    <x v="3"/>
    <x v="3"/>
    <x v="1291"/>
    <x v="1303"/>
    <x v="964"/>
    <x v="1"/>
    <x v="1"/>
    <x v="1"/>
    <x v="1310"/>
    <x v="1"/>
  </r>
  <r>
    <x v="154"/>
    <x v="0"/>
    <x v="1"/>
    <x v="5"/>
    <x v="1"/>
    <x v="1292"/>
    <x v="1304"/>
    <x v="1300"/>
    <x v="1"/>
    <x v="1"/>
    <x v="1"/>
    <x v="1311"/>
    <x v="1"/>
  </r>
  <r>
    <x v="20"/>
    <x v="5"/>
    <x v="3"/>
    <x v="6"/>
    <x v="1"/>
    <x v="1293"/>
    <x v="1305"/>
    <x v="1301"/>
    <x v="1"/>
    <x v="1"/>
    <x v="1"/>
    <x v="1312"/>
    <x v="1"/>
  </r>
  <r>
    <x v="121"/>
    <x v="1"/>
    <x v="3"/>
    <x v="0"/>
    <x v="6"/>
    <x v="1294"/>
    <x v="1306"/>
    <x v="1302"/>
    <x v="1"/>
    <x v="1"/>
    <x v="1"/>
    <x v="1313"/>
    <x v="1"/>
  </r>
  <r>
    <x v="153"/>
    <x v="4"/>
    <x v="1"/>
    <x v="6"/>
    <x v="1"/>
    <x v="1295"/>
    <x v="1307"/>
    <x v="1303"/>
    <x v="1"/>
    <x v="1"/>
    <x v="1"/>
    <x v="1314"/>
    <x v="1"/>
  </r>
  <r>
    <x v="83"/>
    <x v="5"/>
    <x v="3"/>
    <x v="6"/>
    <x v="9"/>
    <x v="1296"/>
    <x v="1308"/>
    <x v="1304"/>
    <x v="1"/>
    <x v="1"/>
    <x v="1"/>
    <x v="1315"/>
    <x v="1"/>
  </r>
  <r>
    <x v="51"/>
    <x v="1"/>
    <x v="2"/>
    <x v="5"/>
    <x v="4"/>
    <x v="1297"/>
    <x v="1088"/>
    <x v="1305"/>
    <x v="1"/>
    <x v="1"/>
    <x v="1"/>
    <x v="1316"/>
    <x v="1"/>
  </r>
  <r>
    <x v="119"/>
    <x v="4"/>
    <x v="1"/>
    <x v="4"/>
    <x v="1"/>
    <x v="1298"/>
    <x v="1309"/>
    <x v="1306"/>
    <x v="1"/>
    <x v="1"/>
    <x v="1"/>
    <x v="1317"/>
    <x v="1"/>
  </r>
  <r>
    <x v="39"/>
    <x v="0"/>
    <x v="0"/>
    <x v="3"/>
    <x v="9"/>
    <x v="1299"/>
    <x v="1310"/>
    <x v="1307"/>
    <x v="1"/>
    <x v="1"/>
    <x v="1"/>
    <x v="1318"/>
    <x v="1"/>
  </r>
  <r>
    <x v="147"/>
    <x v="1"/>
    <x v="0"/>
    <x v="6"/>
    <x v="0"/>
    <x v="1300"/>
    <x v="1311"/>
    <x v="1308"/>
    <x v="1"/>
    <x v="1"/>
    <x v="1"/>
    <x v="1319"/>
    <x v="1"/>
  </r>
  <r>
    <x v="153"/>
    <x v="1"/>
    <x v="0"/>
    <x v="4"/>
    <x v="5"/>
    <x v="1301"/>
    <x v="1312"/>
    <x v="1309"/>
    <x v="1"/>
    <x v="1"/>
    <x v="1"/>
    <x v="1320"/>
    <x v="1"/>
  </r>
  <r>
    <x v="59"/>
    <x v="5"/>
    <x v="0"/>
    <x v="3"/>
    <x v="0"/>
    <x v="1302"/>
    <x v="1313"/>
    <x v="1310"/>
    <x v="1"/>
    <x v="1"/>
    <x v="1"/>
    <x v="1321"/>
    <x v="1"/>
  </r>
  <r>
    <x v="84"/>
    <x v="1"/>
    <x v="2"/>
    <x v="5"/>
    <x v="0"/>
    <x v="1303"/>
    <x v="1314"/>
    <x v="1311"/>
    <x v="1"/>
    <x v="1"/>
    <x v="1"/>
    <x v="1322"/>
    <x v="1"/>
  </r>
  <r>
    <x v="25"/>
    <x v="5"/>
    <x v="2"/>
    <x v="4"/>
    <x v="0"/>
    <x v="1304"/>
    <x v="1315"/>
    <x v="1312"/>
    <x v="1"/>
    <x v="1"/>
    <x v="1"/>
    <x v="1323"/>
    <x v="1"/>
  </r>
  <r>
    <x v="92"/>
    <x v="1"/>
    <x v="1"/>
    <x v="1"/>
    <x v="2"/>
    <x v="1305"/>
    <x v="1316"/>
    <x v="1313"/>
    <x v="1"/>
    <x v="1"/>
    <x v="1"/>
    <x v="1324"/>
    <x v="1"/>
  </r>
  <r>
    <x v="20"/>
    <x v="3"/>
    <x v="0"/>
    <x v="2"/>
    <x v="3"/>
    <x v="1306"/>
    <x v="1317"/>
    <x v="1314"/>
    <x v="1"/>
    <x v="1"/>
    <x v="1"/>
    <x v="1325"/>
    <x v="1"/>
  </r>
  <r>
    <x v="48"/>
    <x v="0"/>
    <x v="2"/>
    <x v="7"/>
    <x v="3"/>
    <x v="1307"/>
    <x v="1318"/>
    <x v="1315"/>
    <x v="1"/>
    <x v="1"/>
    <x v="1"/>
    <x v="1326"/>
    <x v="1"/>
  </r>
  <r>
    <x v="84"/>
    <x v="3"/>
    <x v="2"/>
    <x v="4"/>
    <x v="0"/>
    <x v="1308"/>
    <x v="1319"/>
    <x v="1316"/>
    <x v="1"/>
    <x v="1"/>
    <x v="1"/>
    <x v="1327"/>
    <x v="1"/>
  </r>
  <r>
    <x v="134"/>
    <x v="4"/>
    <x v="0"/>
    <x v="5"/>
    <x v="1"/>
    <x v="1309"/>
    <x v="1320"/>
    <x v="1317"/>
    <x v="1"/>
    <x v="1"/>
    <x v="1"/>
    <x v="1328"/>
    <x v="1"/>
  </r>
  <r>
    <x v="84"/>
    <x v="0"/>
    <x v="1"/>
    <x v="7"/>
    <x v="9"/>
    <x v="1310"/>
    <x v="1321"/>
    <x v="1318"/>
    <x v="1"/>
    <x v="1"/>
    <x v="1"/>
    <x v="1329"/>
    <x v="1"/>
  </r>
  <r>
    <x v="172"/>
    <x v="0"/>
    <x v="0"/>
    <x v="4"/>
    <x v="8"/>
    <x v="1311"/>
    <x v="1322"/>
    <x v="1319"/>
    <x v="1"/>
    <x v="1"/>
    <x v="1"/>
    <x v="1330"/>
    <x v="1"/>
  </r>
  <r>
    <x v="137"/>
    <x v="3"/>
    <x v="2"/>
    <x v="5"/>
    <x v="2"/>
    <x v="1312"/>
    <x v="1323"/>
    <x v="1320"/>
    <x v="1"/>
    <x v="1"/>
    <x v="1"/>
    <x v="1331"/>
    <x v="1"/>
  </r>
  <r>
    <x v="36"/>
    <x v="1"/>
    <x v="2"/>
    <x v="6"/>
    <x v="2"/>
    <x v="780"/>
    <x v="1324"/>
    <x v="1321"/>
    <x v="1"/>
    <x v="1"/>
    <x v="1"/>
    <x v="1332"/>
    <x v="1"/>
  </r>
  <r>
    <x v="57"/>
    <x v="5"/>
    <x v="3"/>
    <x v="6"/>
    <x v="5"/>
    <x v="1313"/>
    <x v="1325"/>
    <x v="1322"/>
    <x v="1"/>
    <x v="1"/>
    <x v="1"/>
    <x v="1333"/>
    <x v="1"/>
  </r>
  <r>
    <x v="72"/>
    <x v="6"/>
    <x v="3"/>
    <x v="2"/>
    <x v="8"/>
    <x v="1314"/>
    <x v="1326"/>
    <x v="1323"/>
    <x v="1"/>
    <x v="1"/>
    <x v="1"/>
    <x v="1334"/>
    <x v="1"/>
  </r>
  <r>
    <x v="175"/>
    <x v="4"/>
    <x v="3"/>
    <x v="7"/>
    <x v="5"/>
    <x v="1315"/>
    <x v="1327"/>
    <x v="1324"/>
    <x v="1"/>
    <x v="1"/>
    <x v="1"/>
    <x v="1335"/>
    <x v="1"/>
  </r>
  <r>
    <x v="25"/>
    <x v="0"/>
    <x v="1"/>
    <x v="0"/>
    <x v="4"/>
    <x v="1316"/>
    <x v="1328"/>
    <x v="1325"/>
    <x v="1"/>
    <x v="1"/>
    <x v="1"/>
    <x v="1336"/>
    <x v="1"/>
  </r>
  <r>
    <x v="76"/>
    <x v="4"/>
    <x v="3"/>
    <x v="7"/>
    <x v="5"/>
    <x v="1317"/>
    <x v="1329"/>
    <x v="1326"/>
    <x v="1"/>
    <x v="1"/>
    <x v="1"/>
    <x v="1337"/>
    <x v="1"/>
  </r>
  <r>
    <x v="167"/>
    <x v="1"/>
    <x v="2"/>
    <x v="3"/>
    <x v="3"/>
    <x v="1318"/>
    <x v="1330"/>
    <x v="1327"/>
    <x v="1"/>
    <x v="1"/>
    <x v="1"/>
    <x v="1338"/>
    <x v="1"/>
  </r>
  <r>
    <x v="97"/>
    <x v="2"/>
    <x v="3"/>
    <x v="3"/>
    <x v="0"/>
    <x v="1319"/>
    <x v="1331"/>
    <x v="1328"/>
    <x v="1"/>
    <x v="1"/>
    <x v="1"/>
    <x v="1339"/>
    <x v="1"/>
  </r>
  <r>
    <x v="116"/>
    <x v="6"/>
    <x v="0"/>
    <x v="6"/>
    <x v="8"/>
    <x v="1320"/>
    <x v="1332"/>
    <x v="1329"/>
    <x v="1"/>
    <x v="1"/>
    <x v="1"/>
    <x v="1340"/>
    <x v="1"/>
  </r>
  <r>
    <x v="3"/>
    <x v="5"/>
    <x v="0"/>
    <x v="2"/>
    <x v="2"/>
    <x v="1321"/>
    <x v="1333"/>
    <x v="1330"/>
    <x v="1"/>
    <x v="1"/>
    <x v="1"/>
    <x v="1341"/>
    <x v="1"/>
  </r>
  <r>
    <x v="93"/>
    <x v="1"/>
    <x v="0"/>
    <x v="1"/>
    <x v="0"/>
    <x v="1322"/>
    <x v="1334"/>
    <x v="1331"/>
    <x v="1"/>
    <x v="1"/>
    <x v="1"/>
    <x v="1342"/>
    <x v="1"/>
  </r>
  <r>
    <x v="28"/>
    <x v="5"/>
    <x v="1"/>
    <x v="3"/>
    <x v="9"/>
    <x v="1323"/>
    <x v="1335"/>
    <x v="1332"/>
    <x v="1"/>
    <x v="1"/>
    <x v="1"/>
    <x v="1343"/>
    <x v="1"/>
  </r>
  <r>
    <x v="11"/>
    <x v="3"/>
    <x v="1"/>
    <x v="4"/>
    <x v="0"/>
    <x v="1324"/>
    <x v="1336"/>
    <x v="1333"/>
    <x v="1"/>
    <x v="1"/>
    <x v="1"/>
    <x v="1344"/>
    <x v="1"/>
  </r>
  <r>
    <x v="84"/>
    <x v="3"/>
    <x v="1"/>
    <x v="5"/>
    <x v="0"/>
    <x v="799"/>
    <x v="1337"/>
    <x v="1334"/>
    <x v="1"/>
    <x v="1"/>
    <x v="1"/>
    <x v="1345"/>
    <x v="1"/>
  </r>
  <r>
    <x v="151"/>
    <x v="0"/>
    <x v="0"/>
    <x v="5"/>
    <x v="3"/>
    <x v="1325"/>
    <x v="1338"/>
    <x v="1335"/>
    <x v="1"/>
    <x v="1"/>
    <x v="1"/>
    <x v="1346"/>
    <x v="1"/>
  </r>
  <r>
    <x v="27"/>
    <x v="1"/>
    <x v="0"/>
    <x v="6"/>
    <x v="2"/>
    <x v="1326"/>
    <x v="1339"/>
    <x v="1336"/>
    <x v="1"/>
    <x v="1"/>
    <x v="1"/>
    <x v="1347"/>
    <x v="1"/>
  </r>
  <r>
    <x v="163"/>
    <x v="2"/>
    <x v="3"/>
    <x v="1"/>
    <x v="7"/>
    <x v="1327"/>
    <x v="1340"/>
    <x v="1337"/>
    <x v="1"/>
    <x v="1"/>
    <x v="1"/>
    <x v="1348"/>
    <x v="1"/>
  </r>
  <r>
    <x v="145"/>
    <x v="2"/>
    <x v="3"/>
    <x v="6"/>
    <x v="1"/>
    <x v="1328"/>
    <x v="1341"/>
    <x v="1338"/>
    <x v="1"/>
    <x v="1"/>
    <x v="1"/>
    <x v="1349"/>
    <x v="1"/>
  </r>
  <r>
    <x v="162"/>
    <x v="5"/>
    <x v="1"/>
    <x v="7"/>
    <x v="0"/>
    <x v="1329"/>
    <x v="1342"/>
    <x v="1339"/>
    <x v="1"/>
    <x v="1"/>
    <x v="1"/>
    <x v="1350"/>
    <x v="1"/>
  </r>
  <r>
    <x v="177"/>
    <x v="1"/>
    <x v="1"/>
    <x v="4"/>
    <x v="7"/>
    <x v="1330"/>
    <x v="1343"/>
    <x v="1340"/>
    <x v="1"/>
    <x v="1"/>
    <x v="1"/>
    <x v="1351"/>
    <x v="1"/>
  </r>
  <r>
    <x v="104"/>
    <x v="1"/>
    <x v="2"/>
    <x v="6"/>
    <x v="8"/>
    <x v="1331"/>
    <x v="1344"/>
    <x v="1341"/>
    <x v="1"/>
    <x v="1"/>
    <x v="1"/>
    <x v="1352"/>
    <x v="1"/>
  </r>
  <r>
    <x v="121"/>
    <x v="3"/>
    <x v="3"/>
    <x v="0"/>
    <x v="0"/>
    <x v="1332"/>
    <x v="1345"/>
    <x v="1342"/>
    <x v="1"/>
    <x v="1"/>
    <x v="1"/>
    <x v="1353"/>
    <x v="1"/>
  </r>
  <r>
    <x v="123"/>
    <x v="3"/>
    <x v="3"/>
    <x v="5"/>
    <x v="1"/>
    <x v="1333"/>
    <x v="1346"/>
    <x v="1343"/>
    <x v="1"/>
    <x v="1"/>
    <x v="1"/>
    <x v="1354"/>
    <x v="1"/>
  </r>
  <r>
    <x v="136"/>
    <x v="6"/>
    <x v="1"/>
    <x v="5"/>
    <x v="9"/>
    <x v="1334"/>
    <x v="1347"/>
    <x v="1344"/>
    <x v="1"/>
    <x v="1"/>
    <x v="1"/>
    <x v="1355"/>
    <x v="1"/>
  </r>
  <r>
    <x v="3"/>
    <x v="4"/>
    <x v="0"/>
    <x v="1"/>
    <x v="4"/>
    <x v="1335"/>
    <x v="1348"/>
    <x v="1345"/>
    <x v="1"/>
    <x v="1"/>
    <x v="1"/>
    <x v="1356"/>
    <x v="1"/>
  </r>
  <r>
    <x v="49"/>
    <x v="1"/>
    <x v="0"/>
    <x v="4"/>
    <x v="2"/>
    <x v="1336"/>
    <x v="1349"/>
    <x v="1346"/>
    <x v="1"/>
    <x v="1"/>
    <x v="1"/>
    <x v="1357"/>
    <x v="1"/>
  </r>
  <r>
    <x v="109"/>
    <x v="6"/>
    <x v="1"/>
    <x v="6"/>
    <x v="9"/>
    <x v="1337"/>
    <x v="1350"/>
    <x v="1347"/>
    <x v="1"/>
    <x v="1"/>
    <x v="1"/>
    <x v="1358"/>
    <x v="1"/>
  </r>
  <r>
    <x v="28"/>
    <x v="0"/>
    <x v="1"/>
    <x v="3"/>
    <x v="7"/>
    <x v="1338"/>
    <x v="1351"/>
    <x v="1348"/>
    <x v="1"/>
    <x v="1"/>
    <x v="1"/>
    <x v="1359"/>
    <x v="1"/>
  </r>
  <r>
    <x v="48"/>
    <x v="2"/>
    <x v="0"/>
    <x v="2"/>
    <x v="3"/>
    <x v="1339"/>
    <x v="1352"/>
    <x v="1349"/>
    <x v="1"/>
    <x v="1"/>
    <x v="1"/>
    <x v="1360"/>
    <x v="1"/>
  </r>
  <r>
    <x v="154"/>
    <x v="6"/>
    <x v="0"/>
    <x v="3"/>
    <x v="0"/>
    <x v="1340"/>
    <x v="1353"/>
    <x v="1350"/>
    <x v="1"/>
    <x v="1"/>
    <x v="1"/>
    <x v="1361"/>
    <x v="1"/>
  </r>
  <r>
    <x v="53"/>
    <x v="1"/>
    <x v="1"/>
    <x v="4"/>
    <x v="4"/>
    <x v="1341"/>
    <x v="1354"/>
    <x v="1351"/>
    <x v="1"/>
    <x v="1"/>
    <x v="1"/>
    <x v="1362"/>
    <x v="1"/>
  </r>
  <r>
    <x v="18"/>
    <x v="2"/>
    <x v="2"/>
    <x v="1"/>
    <x v="6"/>
    <x v="1342"/>
    <x v="1355"/>
    <x v="1352"/>
    <x v="1"/>
    <x v="1"/>
    <x v="1"/>
    <x v="1363"/>
    <x v="1"/>
  </r>
  <r>
    <x v="10"/>
    <x v="4"/>
    <x v="1"/>
    <x v="6"/>
    <x v="0"/>
    <x v="1343"/>
    <x v="1356"/>
    <x v="1353"/>
    <x v="1"/>
    <x v="1"/>
    <x v="1"/>
    <x v="1364"/>
    <x v="1"/>
  </r>
  <r>
    <x v="92"/>
    <x v="1"/>
    <x v="1"/>
    <x v="7"/>
    <x v="5"/>
    <x v="1344"/>
    <x v="1357"/>
    <x v="1354"/>
    <x v="1"/>
    <x v="1"/>
    <x v="1"/>
    <x v="1365"/>
    <x v="1"/>
  </r>
  <r>
    <x v="141"/>
    <x v="2"/>
    <x v="1"/>
    <x v="0"/>
    <x v="5"/>
    <x v="1345"/>
    <x v="1358"/>
    <x v="1355"/>
    <x v="1"/>
    <x v="1"/>
    <x v="1"/>
    <x v="1366"/>
    <x v="1"/>
  </r>
  <r>
    <x v="144"/>
    <x v="1"/>
    <x v="2"/>
    <x v="6"/>
    <x v="9"/>
    <x v="1346"/>
    <x v="1359"/>
    <x v="1356"/>
    <x v="1"/>
    <x v="1"/>
    <x v="1"/>
    <x v="1367"/>
    <x v="1"/>
  </r>
  <r>
    <x v="50"/>
    <x v="6"/>
    <x v="0"/>
    <x v="3"/>
    <x v="1"/>
    <x v="1347"/>
    <x v="1360"/>
    <x v="1357"/>
    <x v="1"/>
    <x v="1"/>
    <x v="1"/>
    <x v="1368"/>
    <x v="1"/>
  </r>
  <r>
    <x v="60"/>
    <x v="6"/>
    <x v="2"/>
    <x v="5"/>
    <x v="3"/>
    <x v="1348"/>
    <x v="1361"/>
    <x v="1358"/>
    <x v="1"/>
    <x v="1"/>
    <x v="1"/>
    <x v="1369"/>
    <x v="1"/>
  </r>
  <r>
    <x v="129"/>
    <x v="0"/>
    <x v="1"/>
    <x v="3"/>
    <x v="3"/>
    <x v="1349"/>
    <x v="1362"/>
    <x v="1359"/>
    <x v="1"/>
    <x v="1"/>
    <x v="1"/>
    <x v="1370"/>
    <x v="1"/>
  </r>
  <r>
    <x v="94"/>
    <x v="2"/>
    <x v="1"/>
    <x v="5"/>
    <x v="6"/>
    <x v="1350"/>
    <x v="1363"/>
    <x v="1360"/>
    <x v="1"/>
    <x v="1"/>
    <x v="1"/>
    <x v="1371"/>
    <x v="1"/>
  </r>
  <r>
    <x v="175"/>
    <x v="1"/>
    <x v="3"/>
    <x v="5"/>
    <x v="3"/>
    <x v="1351"/>
    <x v="1364"/>
    <x v="1361"/>
    <x v="1"/>
    <x v="1"/>
    <x v="1"/>
    <x v="1372"/>
    <x v="1"/>
  </r>
  <r>
    <x v="24"/>
    <x v="5"/>
    <x v="0"/>
    <x v="6"/>
    <x v="1"/>
    <x v="1352"/>
    <x v="1365"/>
    <x v="1362"/>
    <x v="1"/>
    <x v="1"/>
    <x v="1"/>
    <x v="1373"/>
    <x v="1"/>
  </r>
  <r>
    <x v="49"/>
    <x v="0"/>
    <x v="2"/>
    <x v="4"/>
    <x v="5"/>
    <x v="1353"/>
    <x v="1366"/>
    <x v="1363"/>
    <x v="1"/>
    <x v="1"/>
    <x v="1"/>
    <x v="1374"/>
    <x v="1"/>
  </r>
  <r>
    <x v="84"/>
    <x v="3"/>
    <x v="0"/>
    <x v="2"/>
    <x v="1"/>
    <x v="1354"/>
    <x v="1367"/>
    <x v="1364"/>
    <x v="1"/>
    <x v="1"/>
    <x v="1"/>
    <x v="1375"/>
    <x v="1"/>
  </r>
  <r>
    <x v="66"/>
    <x v="3"/>
    <x v="3"/>
    <x v="0"/>
    <x v="5"/>
    <x v="1355"/>
    <x v="1368"/>
    <x v="1365"/>
    <x v="1"/>
    <x v="1"/>
    <x v="1"/>
    <x v="1376"/>
    <x v="1"/>
  </r>
  <r>
    <x v="53"/>
    <x v="3"/>
    <x v="1"/>
    <x v="1"/>
    <x v="6"/>
    <x v="1356"/>
    <x v="1369"/>
    <x v="1366"/>
    <x v="1"/>
    <x v="1"/>
    <x v="1"/>
    <x v="1377"/>
    <x v="1"/>
  </r>
  <r>
    <x v="20"/>
    <x v="0"/>
    <x v="2"/>
    <x v="3"/>
    <x v="3"/>
    <x v="1357"/>
    <x v="1370"/>
    <x v="1367"/>
    <x v="1"/>
    <x v="1"/>
    <x v="1"/>
    <x v="1378"/>
    <x v="1"/>
  </r>
  <r>
    <x v="100"/>
    <x v="2"/>
    <x v="2"/>
    <x v="4"/>
    <x v="7"/>
    <x v="1358"/>
    <x v="1371"/>
    <x v="1368"/>
    <x v="1"/>
    <x v="1"/>
    <x v="1"/>
    <x v="1379"/>
    <x v="1"/>
  </r>
  <r>
    <x v="33"/>
    <x v="6"/>
    <x v="0"/>
    <x v="1"/>
    <x v="1"/>
    <x v="1359"/>
    <x v="1372"/>
    <x v="1369"/>
    <x v="1"/>
    <x v="1"/>
    <x v="1"/>
    <x v="1380"/>
    <x v="1"/>
  </r>
  <r>
    <x v="85"/>
    <x v="4"/>
    <x v="0"/>
    <x v="0"/>
    <x v="0"/>
    <x v="1360"/>
    <x v="1373"/>
    <x v="1370"/>
    <x v="1"/>
    <x v="1"/>
    <x v="1"/>
    <x v="1381"/>
    <x v="1"/>
  </r>
  <r>
    <x v="93"/>
    <x v="6"/>
    <x v="3"/>
    <x v="4"/>
    <x v="0"/>
    <x v="1361"/>
    <x v="1374"/>
    <x v="1371"/>
    <x v="1"/>
    <x v="1"/>
    <x v="1"/>
    <x v="1382"/>
    <x v="1"/>
  </r>
  <r>
    <x v="2"/>
    <x v="4"/>
    <x v="1"/>
    <x v="5"/>
    <x v="1"/>
    <x v="1362"/>
    <x v="1375"/>
    <x v="1372"/>
    <x v="1"/>
    <x v="1"/>
    <x v="1"/>
    <x v="1383"/>
    <x v="1"/>
  </r>
  <r>
    <x v="22"/>
    <x v="3"/>
    <x v="2"/>
    <x v="5"/>
    <x v="5"/>
    <x v="1363"/>
    <x v="1376"/>
    <x v="1373"/>
    <x v="1"/>
    <x v="1"/>
    <x v="1"/>
    <x v="1384"/>
    <x v="1"/>
  </r>
  <r>
    <x v="138"/>
    <x v="6"/>
    <x v="2"/>
    <x v="6"/>
    <x v="7"/>
    <x v="1364"/>
    <x v="1377"/>
    <x v="1374"/>
    <x v="1"/>
    <x v="1"/>
    <x v="1"/>
    <x v="1385"/>
    <x v="1"/>
  </r>
  <r>
    <x v="70"/>
    <x v="3"/>
    <x v="3"/>
    <x v="1"/>
    <x v="7"/>
    <x v="1365"/>
    <x v="1378"/>
    <x v="1375"/>
    <x v="1"/>
    <x v="1"/>
    <x v="1"/>
    <x v="1386"/>
    <x v="1"/>
  </r>
  <r>
    <x v="147"/>
    <x v="0"/>
    <x v="3"/>
    <x v="3"/>
    <x v="9"/>
    <x v="1366"/>
    <x v="1379"/>
    <x v="1376"/>
    <x v="1"/>
    <x v="1"/>
    <x v="1"/>
    <x v="1387"/>
    <x v="1"/>
  </r>
  <r>
    <x v="145"/>
    <x v="1"/>
    <x v="0"/>
    <x v="0"/>
    <x v="0"/>
    <x v="1367"/>
    <x v="1380"/>
    <x v="1377"/>
    <x v="1"/>
    <x v="1"/>
    <x v="1"/>
    <x v="1388"/>
    <x v="1"/>
  </r>
  <r>
    <x v="28"/>
    <x v="6"/>
    <x v="1"/>
    <x v="7"/>
    <x v="9"/>
    <x v="1368"/>
    <x v="1381"/>
    <x v="1378"/>
    <x v="1"/>
    <x v="1"/>
    <x v="1"/>
    <x v="1389"/>
    <x v="1"/>
  </r>
  <r>
    <x v="179"/>
    <x v="6"/>
    <x v="2"/>
    <x v="1"/>
    <x v="8"/>
    <x v="1369"/>
    <x v="1382"/>
    <x v="1379"/>
    <x v="1"/>
    <x v="1"/>
    <x v="1"/>
    <x v="1390"/>
    <x v="1"/>
  </r>
  <r>
    <x v="69"/>
    <x v="1"/>
    <x v="0"/>
    <x v="1"/>
    <x v="7"/>
    <x v="1370"/>
    <x v="1383"/>
    <x v="1380"/>
    <x v="1"/>
    <x v="1"/>
    <x v="1"/>
    <x v="1391"/>
    <x v="1"/>
  </r>
  <r>
    <x v="56"/>
    <x v="4"/>
    <x v="3"/>
    <x v="0"/>
    <x v="5"/>
    <x v="1371"/>
    <x v="1384"/>
    <x v="1381"/>
    <x v="1"/>
    <x v="1"/>
    <x v="1"/>
    <x v="1392"/>
    <x v="1"/>
  </r>
  <r>
    <x v="19"/>
    <x v="0"/>
    <x v="3"/>
    <x v="6"/>
    <x v="6"/>
    <x v="1372"/>
    <x v="1385"/>
    <x v="1382"/>
    <x v="1"/>
    <x v="1"/>
    <x v="1"/>
    <x v="1393"/>
    <x v="1"/>
  </r>
  <r>
    <x v="108"/>
    <x v="4"/>
    <x v="0"/>
    <x v="1"/>
    <x v="3"/>
    <x v="1373"/>
    <x v="1386"/>
    <x v="1383"/>
    <x v="1"/>
    <x v="1"/>
    <x v="1"/>
    <x v="1394"/>
    <x v="1"/>
  </r>
  <r>
    <x v="8"/>
    <x v="3"/>
    <x v="1"/>
    <x v="1"/>
    <x v="8"/>
    <x v="1374"/>
    <x v="1387"/>
    <x v="1384"/>
    <x v="1"/>
    <x v="1"/>
    <x v="1"/>
    <x v="1395"/>
    <x v="1"/>
  </r>
  <r>
    <x v="163"/>
    <x v="1"/>
    <x v="0"/>
    <x v="3"/>
    <x v="8"/>
    <x v="1375"/>
    <x v="1388"/>
    <x v="1385"/>
    <x v="1"/>
    <x v="1"/>
    <x v="1"/>
    <x v="1396"/>
    <x v="1"/>
  </r>
  <r>
    <x v="83"/>
    <x v="3"/>
    <x v="0"/>
    <x v="2"/>
    <x v="6"/>
    <x v="1376"/>
    <x v="1389"/>
    <x v="1386"/>
    <x v="1"/>
    <x v="1"/>
    <x v="1"/>
    <x v="1397"/>
    <x v="1"/>
  </r>
  <r>
    <x v="43"/>
    <x v="4"/>
    <x v="1"/>
    <x v="3"/>
    <x v="6"/>
    <x v="1377"/>
    <x v="1390"/>
    <x v="1387"/>
    <x v="1"/>
    <x v="1"/>
    <x v="1"/>
    <x v="1398"/>
    <x v="1"/>
  </r>
  <r>
    <x v="63"/>
    <x v="6"/>
    <x v="2"/>
    <x v="2"/>
    <x v="2"/>
    <x v="1378"/>
    <x v="1391"/>
    <x v="1388"/>
    <x v="1"/>
    <x v="1"/>
    <x v="1"/>
    <x v="1399"/>
    <x v="1"/>
  </r>
  <r>
    <x v="18"/>
    <x v="2"/>
    <x v="1"/>
    <x v="5"/>
    <x v="3"/>
    <x v="1379"/>
    <x v="1392"/>
    <x v="1389"/>
    <x v="1"/>
    <x v="1"/>
    <x v="1"/>
    <x v="1400"/>
    <x v="1"/>
  </r>
  <r>
    <x v="41"/>
    <x v="3"/>
    <x v="1"/>
    <x v="7"/>
    <x v="6"/>
    <x v="1380"/>
    <x v="1393"/>
    <x v="1390"/>
    <x v="1"/>
    <x v="1"/>
    <x v="1"/>
    <x v="1401"/>
    <x v="1"/>
  </r>
  <r>
    <x v="147"/>
    <x v="2"/>
    <x v="1"/>
    <x v="0"/>
    <x v="5"/>
    <x v="1381"/>
    <x v="1394"/>
    <x v="1391"/>
    <x v="1"/>
    <x v="1"/>
    <x v="1"/>
    <x v="1402"/>
    <x v="1"/>
  </r>
  <r>
    <x v="175"/>
    <x v="2"/>
    <x v="0"/>
    <x v="2"/>
    <x v="9"/>
    <x v="1382"/>
    <x v="1395"/>
    <x v="1392"/>
    <x v="1"/>
    <x v="1"/>
    <x v="1"/>
    <x v="1403"/>
    <x v="1"/>
  </r>
  <r>
    <x v="41"/>
    <x v="1"/>
    <x v="3"/>
    <x v="5"/>
    <x v="2"/>
    <x v="1383"/>
    <x v="1396"/>
    <x v="1393"/>
    <x v="1"/>
    <x v="1"/>
    <x v="1"/>
    <x v="1404"/>
    <x v="1"/>
  </r>
  <r>
    <x v="59"/>
    <x v="2"/>
    <x v="2"/>
    <x v="1"/>
    <x v="8"/>
    <x v="1384"/>
    <x v="1397"/>
    <x v="1394"/>
    <x v="1"/>
    <x v="1"/>
    <x v="1"/>
    <x v="1405"/>
    <x v="1"/>
  </r>
  <r>
    <x v="67"/>
    <x v="4"/>
    <x v="3"/>
    <x v="2"/>
    <x v="5"/>
    <x v="1385"/>
    <x v="1398"/>
    <x v="1395"/>
    <x v="1"/>
    <x v="1"/>
    <x v="1"/>
    <x v="1406"/>
    <x v="1"/>
  </r>
  <r>
    <x v="111"/>
    <x v="5"/>
    <x v="2"/>
    <x v="2"/>
    <x v="1"/>
    <x v="1386"/>
    <x v="1399"/>
    <x v="1396"/>
    <x v="1"/>
    <x v="1"/>
    <x v="1"/>
    <x v="1407"/>
    <x v="1"/>
  </r>
  <r>
    <x v="77"/>
    <x v="3"/>
    <x v="2"/>
    <x v="0"/>
    <x v="2"/>
    <x v="1387"/>
    <x v="1400"/>
    <x v="419"/>
    <x v="1"/>
    <x v="1"/>
    <x v="1"/>
    <x v="1408"/>
    <x v="1"/>
  </r>
  <r>
    <x v="121"/>
    <x v="5"/>
    <x v="2"/>
    <x v="0"/>
    <x v="5"/>
    <x v="1388"/>
    <x v="1401"/>
    <x v="1397"/>
    <x v="1"/>
    <x v="1"/>
    <x v="1"/>
    <x v="1409"/>
    <x v="1"/>
  </r>
  <r>
    <x v="123"/>
    <x v="1"/>
    <x v="0"/>
    <x v="5"/>
    <x v="8"/>
    <x v="1389"/>
    <x v="1402"/>
    <x v="1398"/>
    <x v="1"/>
    <x v="1"/>
    <x v="1"/>
    <x v="1410"/>
    <x v="1"/>
  </r>
  <r>
    <x v="127"/>
    <x v="2"/>
    <x v="1"/>
    <x v="1"/>
    <x v="9"/>
    <x v="1390"/>
    <x v="1403"/>
    <x v="1399"/>
    <x v="1"/>
    <x v="1"/>
    <x v="1"/>
    <x v="1411"/>
    <x v="1"/>
  </r>
  <r>
    <x v="76"/>
    <x v="0"/>
    <x v="3"/>
    <x v="6"/>
    <x v="7"/>
    <x v="1391"/>
    <x v="1404"/>
    <x v="1400"/>
    <x v="1"/>
    <x v="1"/>
    <x v="1"/>
    <x v="1412"/>
    <x v="1"/>
  </r>
  <r>
    <x v="116"/>
    <x v="5"/>
    <x v="0"/>
    <x v="6"/>
    <x v="9"/>
    <x v="1392"/>
    <x v="1405"/>
    <x v="1401"/>
    <x v="1"/>
    <x v="1"/>
    <x v="1"/>
    <x v="1413"/>
    <x v="1"/>
  </r>
  <r>
    <x v="99"/>
    <x v="1"/>
    <x v="3"/>
    <x v="5"/>
    <x v="1"/>
    <x v="1393"/>
    <x v="1406"/>
    <x v="1402"/>
    <x v="1"/>
    <x v="1"/>
    <x v="1"/>
    <x v="1414"/>
    <x v="1"/>
  </r>
  <r>
    <x v="46"/>
    <x v="1"/>
    <x v="3"/>
    <x v="0"/>
    <x v="9"/>
    <x v="1394"/>
    <x v="1407"/>
    <x v="1403"/>
    <x v="1"/>
    <x v="1"/>
    <x v="1"/>
    <x v="1415"/>
    <x v="1"/>
  </r>
  <r>
    <x v="79"/>
    <x v="6"/>
    <x v="0"/>
    <x v="3"/>
    <x v="8"/>
    <x v="1395"/>
    <x v="1408"/>
    <x v="1404"/>
    <x v="1"/>
    <x v="1"/>
    <x v="1"/>
    <x v="1416"/>
    <x v="1"/>
  </r>
  <r>
    <x v="21"/>
    <x v="4"/>
    <x v="1"/>
    <x v="0"/>
    <x v="5"/>
    <x v="1396"/>
    <x v="1409"/>
    <x v="1405"/>
    <x v="1"/>
    <x v="1"/>
    <x v="1"/>
    <x v="1417"/>
    <x v="1"/>
  </r>
  <r>
    <x v="133"/>
    <x v="5"/>
    <x v="1"/>
    <x v="6"/>
    <x v="4"/>
    <x v="1397"/>
    <x v="1410"/>
    <x v="1406"/>
    <x v="1"/>
    <x v="1"/>
    <x v="1"/>
    <x v="1418"/>
    <x v="1"/>
  </r>
  <r>
    <x v="84"/>
    <x v="5"/>
    <x v="0"/>
    <x v="5"/>
    <x v="1"/>
    <x v="1398"/>
    <x v="1411"/>
    <x v="1407"/>
    <x v="1"/>
    <x v="1"/>
    <x v="1"/>
    <x v="1419"/>
    <x v="1"/>
  </r>
  <r>
    <x v="75"/>
    <x v="1"/>
    <x v="0"/>
    <x v="1"/>
    <x v="5"/>
    <x v="1399"/>
    <x v="1412"/>
    <x v="1408"/>
    <x v="1"/>
    <x v="1"/>
    <x v="1"/>
    <x v="1420"/>
    <x v="1"/>
  </r>
  <r>
    <x v="100"/>
    <x v="2"/>
    <x v="2"/>
    <x v="6"/>
    <x v="8"/>
    <x v="1400"/>
    <x v="1413"/>
    <x v="1409"/>
    <x v="1"/>
    <x v="1"/>
    <x v="1"/>
    <x v="1421"/>
    <x v="1"/>
  </r>
  <r>
    <x v="0"/>
    <x v="4"/>
    <x v="2"/>
    <x v="0"/>
    <x v="4"/>
    <x v="1401"/>
    <x v="1414"/>
    <x v="1410"/>
    <x v="1"/>
    <x v="1"/>
    <x v="1"/>
    <x v="1422"/>
    <x v="1"/>
  </r>
  <r>
    <x v="68"/>
    <x v="3"/>
    <x v="2"/>
    <x v="5"/>
    <x v="1"/>
    <x v="1402"/>
    <x v="1415"/>
    <x v="1411"/>
    <x v="1"/>
    <x v="1"/>
    <x v="1"/>
    <x v="1423"/>
    <x v="1"/>
  </r>
  <r>
    <x v="178"/>
    <x v="4"/>
    <x v="3"/>
    <x v="7"/>
    <x v="8"/>
    <x v="1403"/>
    <x v="1416"/>
    <x v="1412"/>
    <x v="1"/>
    <x v="1"/>
    <x v="1"/>
    <x v="1424"/>
    <x v="1"/>
  </r>
  <r>
    <x v="180"/>
    <x v="6"/>
    <x v="1"/>
    <x v="1"/>
    <x v="8"/>
    <x v="1404"/>
    <x v="1417"/>
    <x v="1413"/>
    <x v="1"/>
    <x v="1"/>
    <x v="1"/>
    <x v="1425"/>
    <x v="1"/>
  </r>
  <r>
    <x v="133"/>
    <x v="1"/>
    <x v="3"/>
    <x v="5"/>
    <x v="6"/>
    <x v="1405"/>
    <x v="1418"/>
    <x v="1414"/>
    <x v="1"/>
    <x v="1"/>
    <x v="1"/>
    <x v="1426"/>
    <x v="1"/>
  </r>
  <r>
    <x v="8"/>
    <x v="6"/>
    <x v="3"/>
    <x v="7"/>
    <x v="0"/>
    <x v="1406"/>
    <x v="1419"/>
    <x v="1415"/>
    <x v="1"/>
    <x v="1"/>
    <x v="1"/>
    <x v="1427"/>
    <x v="1"/>
  </r>
  <r>
    <x v="96"/>
    <x v="6"/>
    <x v="2"/>
    <x v="0"/>
    <x v="4"/>
    <x v="1407"/>
    <x v="1420"/>
    <x v="1416"/>
    <x v="1"/>
    <x v="1"/>
    <x v="1"/>
    <x v="1428"/>
    <x v="1"/>
  </r>
  <r>
    <x v="136"/>
    <x v="5"/>
    <x v="3"/>
    <x v="4"/>
    <x v="1"/>
    <x v="1408"/>
    <x v="1421"/>
    <x v="1417"/>
    <x v="1"/>
    <x v="1"/>
    <x v="1"/>
    <x v="1429"/>
    <x v="1"/>
  </r>
  <r>
    <x v="98"/>
    <x v="2"/>
    <x v="1"/>
    <x v="7"/>
    <x v="7"/>
    <x v="1409"/>
    <x v="1422"/>
    <x v="1418"/>
    <x v="1"/>
    <x v="1"/>
    <x v="1"/>
    <x v="1430"/>
    <x v="1"/>
  </r>
  <r>
    <x v="66"/>
    <x v="1"/>
    <x v="0"/>
    <x v="5"/>
    <x v="5"/>
    <x v="1410"/>
    <x v="1423"/>
    <x v="1419"/>
    <x v="1"/>
    <x v="1"/>
    <x v="1"/>
    <x v="1431"/>
    <x v="1"/>
  </r>
  <r>
    <x v="5"/>
    <x v="1"/>
    <x v="1"/>
    <x v="4"/>
    <x v="1"/>
    <x v="254"/>
    <x v="1424"/>
    <x v="1420"/>
    <x v="1"/>
    <x v="1"/>
    <x v="1"/>
    <x v="1432"/>
    <x v="1"/>
  </r>
  <r>
    <x v="132"/>
    <x v="2"/>
    <x v="1"/>
    <x v="6"/>
    <x v="6"/>
    <x v="1411"/>
    <x v="1425"/>
    <x v="1421"/>
    <x v="1"/>
    <x v="1"/>
    <x v="1"/>
    <x v="1433"/>
    <x v="1"/>
  </r>
  <r>
    <x v="111"/>
    <x v="0"/>
    <x v="1"/>
    <x v="1"/>
    <x v="5"/>
    <x v="1412"/>
    <x v="1426"/>
    <x v="1422"/>
    <x v="1"/>
    <x v="1"/>
    <x v="1"/>
    <x v="1434"/>
    <x v="1"/>
  </r>
  <r>
    <x v="124"/>
    <x v="0"/>
    <x v="1"/>
    <x v="4"/>
    <x v="6"/>
    <x v="1413"/>
    <x v="1427"/>
    <x v="1423"/>
    <x v="1"/>
    <x v="1"/>
    <x v="1"/>
    <x v="1435"/>
    <x v="1"/>
  </r>
  <r>
    <x v="142"/>
    <x v="4"/>
    <x v="3"/>
    <x v="2"/>
    <x v="9"/>
    <x v="1414"/>
    <x v="1428"/>
    <x v="1424"/>
    <x v="1"/>
    <x v="1"/>
    <x v="1"/>
    <x v="1436"/>
    <x v="1"/>
  </r>
  <r>
    <x v="86"/>
    <x v="6"/>
    <x v="1"/>
    <x v="7"/>
    <x v="0"/>
    <x v="1415"/>
    <x v="306"/>
    <x v="1425"/>
    <x v="1"/>
    <x v="1"/>
    <x v="1"/>
    <x v="1437"/>
    <x v="1"/>
  </r>
  <r>
    <x v="76"/>
    <x v="0"/>
    <x v="1"/>
    <x v="2"/>
    <x v="0"/>
    <x v="1416"/>
    <x v="1429"/>
    <x v="1426"/>
    <x v="1"/>
    <x v="1"/>
    <x v="1"/>
    <x v="1438"/>
    <x v="1"/>
  </r>
  <r>
    <x v="104"/>
    <x v="3"/>
    <x v="1"/>
    <x v="0"/>
    <x v="3"/>
    <x v="1417"/>
    <x v="1430"/>
    <x v="1427"/>
    <x v="1"/>
    <x v="1"/>
    <x v="1"/>
    <x v="1439"/>
    <x v="1"/>
  </r>
  <r>
    <x v="103"/>
    <x v="4"/>
    <x v="3"/>
    <x v="5"/>
    <x v="4"/>
    <x v="1418"/>
    <x v="1431"/>
    <x v="1428"/>
    <x v="1"/>
    <x v="1"/>
    <x v="1"/>
    <x v="1440"/>
    <x v="1"/>
  </r>
  <r>
    <x v="104"/>
    <x v="1"/>
    <x v="0"/>
    <x v="0"/>
    <x v="0"/>
    <x v="1419"/>
    <x v="1432"/>
    <x v="1429"/>
    <x v="1"/>
    <x v="1"/>
    <x v="1"/>
    <x v="1441"/>
    <x v="1"/>
  </r>
  <r>
    <x v="68"/>
    <x v="0"/>
    <x v="3"/>
    <x v="5"/>
    <x v="3"/>
    <x v="1420"/>
    <x v="1433"/>
    <x v="1430"/>
    <x v="1"/>
    <x v="1"/>
    <x v="1"/>
    <x v="1442"/>
    <x v="1"/>
  </r>
  <r>
    <x v="53"/>
    <x v="4"/>
    <x v="2"/>
    <x v="3"/>
    <x v="4"/>
    <x v="1421"/>
    <x v="1434"/>
    <x v="1431"/>
    <x v="1"/>
    <x v="1"/>
    <x v="1"/>
    <x v="1443"/>
    <x v="1"/>
  </r>
  <r>
    <x v="63"/>
    <x v="1"/>
    <x v="3"/>
    <x v="3"/>
    <x v="3"/>
    <x v="1422"/>
    <x v="1435"/>
    <x v="1432"/>
    <x v="1"/>
    <x v="1"/>
    <x v="1"/>
    <x v="1444"/>
    <x v="1"/>
  </r>
  <r>
    <x v="131"/>
    <x v="6"/>
    <x v="0"/>
    <x v="0"/>
    <x v="0"/>
    <x v="1423"/>
    <x v="1436"/>
    <x v="1433"/>
    <x v="1"/>
    <x v="1"/>
    <x v="1"/>
    <x v="1445"/>
    <x v="1"/>
  </r>
  <r>
    <x v="135"/>
    <x v="4"/>
    <x v="2"/>
    <x v="1"/>
    <x v="9"/>
    <x v="1424"/>
    <x v="1437"/>
    <x v="1434"/>
    <x v="1"/>
    <x v="1"/>
    <x v="1"/>
    <x v="1446"/>
    <x v="1"/>
  </r>
  <r>
    <x v="14"/>
    <x v="5"/>
    <x v="2"/>
    <x v="3"/>
    <x v="6"/>
    <x v="739"/>
    <x v="1438"/>
    <x v="1435"/>
    <x v="1"/>
    <x v="1"/>
    <x v="1"/>
    <x v="1447"/>
    <x v="1"/>
  </r>
  <r>
    <x v="172"/>
    <x v="1"/>
    <x v="1"/>
    <x v="2"/>
    <x v="6"/>
    <x v="1425"/>
    <x v="1439"/>
    <x v="1436"/>
    <x v="1"/>
    <x v="1"/>
    <x v="1"/>
    <x v="1448"/>
    <x v="1"/>
  </r>
  <r>
    <x v="104"/>
    <x v="2"/>
    <x v="2"/>
    <x v="6"/>
    <x v="7"/>
    <x v="1426"/>
    <x v="1440"/>
    <x v="1437"/>
    <x v="1"/>
    <x v="1"/>
    <x v="1"/>
    <x v="1449"/>
    <x v="1"/>
  </r>
  <r>
    <x v="22"/>
    <x v="5"/>
    <x v="3"/>
    <x v="7"/>
    <x v="4"/>
    <x v="1427"/>
    <x v="1441"/>
    <x v="1438"/>
    <x v="1"/>
    <x v="1"/>
    <x v="1"/>
    <x v="1450"/>
    <x v="1"/>
  </r>
  <r>
    <x v="129"/>
    <x v="1"/>
    <x v="0"/>
    <x v="0"/>
    <x v="7"/>
    <x v="1428"/>
    <x v="1442"/>
    <x v="1439"/>
    <x v="1"/>
    <x v="1"/>
    <x v="1"/>
    <x v="1451"/>
    <x v="1"/>
  </r>
  <r>
    <x v="85"/>
    <x v="0"/>
    <x v="0"/>
    <x v="3"/>
    <x v="5"/>
    <x v="1429"/>
    <x v="1443"/>
    <x v="1440"/>
    <x v="1"/>
    <x v="1"/>
    <x v="1"/>
    <x v="1452"/>
    <x v="1"/>
  </r>
  <r>
    <x v="57"/>
    <x v="5"/>
    <x v="2"/>
    <x v="4"/>
    <x v="4"/>
    <x v="1430"/>
    <x v="1444"/>
    <x v="1441"/>
    <x v="1"/>
    <x v="1"/>
    <x v="1"/>
    <x v="1453"/>
    <x v="1"/>
  </r>
  <r>
    <x v="31"/>
    <x v="3"/>
    <x v="2"/>
    <x v="0"/>
    <x v="8"/>
    <x v="1431"/>
    <x v="1445"/>
    <x v="1442"/>
    <x v="1"/>
    <x v="1"/>
    <x v="1"/>
    <x v="1454"/>
    <x v="1"/>
  </r>
  <r>
    <x v="29"/>
    <x v="2"/>
    <x v="0"/>
    <x v="1"/>
    <x v="7"/>
    <x v="1432"/>
    <x v="1446"/>
    <x v="1443"/>
    <x v="1"/>
    <x v="1"/>
    <x v="1"/>
    <x v="1455"/>
    <x v="1"/>
  </r>
  <r>
    <x v="10"/>
    <x v="1"/>
    <x v="2"/>
    <x v="3"/>
    <x v="7"/>
    <x v="1433"/>
    <x v="1447"/>
    <x v="1444"/>
    <x v="1"/>
    <x v="1"/>
    <x v="1"/>
    <x v="1456"/>
    <x v="1"/>
  </r>
  <r>
    <x v="106"/>
    <x v="2"/>
    <x v="3"/>
    <x v="2"/>
    <x v="8"/>
    <x v="1434"/>
    <x v="1448"/>
    <x v="1445"/>
    <x v="1"/>
    <x v="1"/>
    <x v="1"/>
    <x v="1457"/>
    <x v="1"/>
  </r>
  <r>
    <x v="55"/>
    <x v="1"/>
    <x v="1"/>
    <x v="2"/>
    <x v="4"/>
    <x v="1435"/>
    <x v="1449"/>
    <x v="1446"/>
    <x v="1"/>
    <x v="1"/>
    <x v="1"/>
    <x v="1458"/>
    <x v="1"/>
  </r>
  <r>
    <x v="129"/>
    <x v="0"/>
    <x v="1"/>
    <x v="5"/>
    <x v="9"/>
    <x v="1436"/>
    <x v="1450"/>
    <x v="820"/>
    <x v="1"/>
    <x v="1"/>
    <x v="1"/>
    <x v="1459"/>
    <x v="1"/>
  </r>
  <r>
    <x v="163"/>
    <x v="0"/>
    <x v="2"/>
    <x v="4"/>
    <x v="4"/>
    <x v="1437"/>
    <x v="1451"/>
    <x v="1447"/>
    <x v="1"/>
    <x v="1"/>
    <x v="1"/>
    <x v="1460"/>
    <x v="1"/>
  </r>
  <r>
    <x v="109"/>
    <x v="3"/>
    <x v="2"/>
    <x v="7"/>
    <x v="1"/>
    <x v="1438"/>
    <x v="1452"/>
    <x v="1448"/>
    <x v="1"/>
    <x v="1"/>
    <x v="1"/>
    <x v="1461"/>
    <x v="1"/>
  </r>
  <r>
    <x v="7"/>
    <x v="2"/>
    <x v="1"/>
    <x v="1"/>
    <x v="6"/>
    <x v="1439"/>
    <x v="1453"/>
    <x v="1449"/>
    <x v="1"/>
    <x v="1"/>
    <x v="1"/>
    <x v="1462"/>
    <x v="1"/>
  </r>
  <r>
    <x v="99"/>
    <x v="5"/>
    <x v="1"/>
    <x v="3"/>
    <x v="3"/>
    <x v="1440"/>
    <x v="1454"/>
    <x v="1450"/>
    <x v="1"/>
    <x v="1"/>
    <x v="1"/>
    <x v="1463"/>
    <x v="1"/>
  </r>
  <r>
    <x v="178"/>
    <x v="5"/>
    <x v="2"/>
    <x v="4"/>
    <x v="8"/>
    <x v="1441"/>
    <x v="1455"/>
    <x v="1451"/>
    <x v="1"/>
    <x v="1"/>
    <x v="1"/>
    <x v="1464"/>
    <x v="1"/>
  </r>
  <r>
    <x v="35"/>
    <x v="2"/>
    <x v="0"/>
    <x v="7"/>
    <x v="4"/>
    <x v="1442"/>
    <x v="1456"/>
    <x v="1452"/>
    <x v="1"/>
    <x v="1"/>
    <x v="1"/>
    <x v="1465"/>
    <x v="1"/>
  </r>
  <r>
    <x v="148"/>
    <x v="2"/>
    <x v="2"/>
    <x v="0"/>
    <x v="8"/>
    <x v="1443"/>
    <x v="1457"/>
    <x v="1453"/>
    <x v="1"/>
    <x v="1"/>
    <x v="1"/>
    <x v="1466"/>
    <x v="1"/>
  </r>
  <r>
    <x v="12"/>
    <x v="1"/>
    <x v="0"/>
    <x v="6"/>
    <x v="0"/>
    <x v="1444"/>
    <x v="1458"/>
    <x v="1454"/>
    <x v="1"/>
    <x v="1"/>
    <x v="1"/>
    <x v="1467"/>
    <x v="1"/>
  </r>
  <r>
    <x v="64"/>
    <x v="0"/>
    <x v="3"/>
    <x v="0"/>
    <x v="9"/>
    <x v="1445"/>
    <x v="1459"/>
    <x v="1455"/>
    <x v="1"/>
    <x v="1"/>
    <x v="1"/>
    <x v="1468"/>
    <x v="1"/>
  </r>
  <r>
    <x v="11"/>
    <x v="1"/>
    <x v="0"/>
    <x v="6"/>
    <x v="2"/>
    <x v="1446"/>
    <x v="1460"/>
    <x v="1456"/>
    <x v="1"/>
    <x v="1"/>
    <x v="1"/>
    <x v="1469"/>
    <x v="1"/>
  </r>
  <r>
    <x v="146"/>
    <x v="3"/>
    <x v="1"/>
    <x v="0"/>
    <x v="4"/>
    <x v="1447"/>
    <x v="1461"/>
    <x v="1457"/>
    <x v="1"/>
    <x v="1"/>
    <x v="1"/>
    <x v="1470"/>
    <x v="1"/>
  </r>
  <r>
    <x v="153"/>
    <x v="1"/>
    <x v="2"/>
    <x v="6"/>
    <x v="9"/>
    <x v="1448"/>
    <x v="1462"/>
    <x v="1458"/>
    <x v="1"/>
    <x v="1"/>
    <x v="1"/>
    <x v="1471"/>
    <x v="1"/>
  </r>
  <r>
    <x v="164"/>
    <x v="1"/>
    <x v="2"/>
    <x v="0"/>
    <x v="5"/>
    <x v="1449"/>
    <x v="1463"/>
    <x v="1459"/>
    <x v="1"/>
    <x v="1"/>
    <x v="1"/>
    <x v="1472"/>
    <x v="1"/>
  </r>
  <r>
    <x v="42"/>
    <x v="0"/>
    <x v="3"/>
    <x v="3"/>
    <x v="5"/>
    <x v="1450"/>
    <x v="1464"/>
    <x v="1460"/>
    <x v="1"/>
    <x v="1"/>
    <x v="1"/>
    <x v="1473"/>
    <x v="1"/>
  </r>
  <r>
    <x v="15"/>
    <x v="0"/>
    <x v="1"/>
    <x v="2"/>
    <x v="6"/>
    <x v="1451"/>
    <x v="1465"/>
    <x v="1461"/>
    <x v="1"/>
    <x v="1"/>
    <x v="1"/>
    <x v="1474"/>
    <x v="1"/>
  </r>
  <r>
    <x v="102"/>
    <x v="3"/>
    <x v="2"/>
    <x v="0"/>
    <x v="4"/>
    <x v="1452"/>
    <x v="1466"/>
    <x v="1462"/>
    <x v="1"/>
    <x v="1"/>
    <x v="1"/>
    <x v="1475"/>
    <x v="1"/>
  </r>
  <r>
    <x v="63"/>
    <x v="2"/>
    <x v="1"/>
    <x v="4"/>
    <x v="5"/>
    <x v="1453"/>
    <x v="1467"/>
    <x v="1463"/>
    <x v="1"/>
    <x v="1"/>
    <x v="1"/>
    <x v="1476"/>
    <x v="1"/>
  </r>
  <r>
    <x v="142"/>
    <x v="4"/>
    <x v="1"/>
    <x v="7"/>
    <x v="1"/>
    <x v="1454"/>
    <x v="1468"/>
    <x v="1464"/>
    <x v="1"/>
    <x v="1"/>
    <x v="1"/>
    <x v="1477"/>
    <x v="1"/>
  </r>
  <r>
    <x v="119"/>
    <x v="3"/>
    <x v="0"/>
    <x v="6"/>
    <x v="6"/>
    <x v="1455"/>
    <x v="1469"/>
    <x v="1465"/>
    <x v="1"/>
    <x v="1"/>
    <x v="1"/>
    <x v="1478"/>
    <x v="1"/>
  </r>
  <r>
    <x v="39"/>
    <x v="4"/>
    <x v="2"/>
    <x v="0"/>
    <x v="2"/>
    <x v="541"/>
    <x v="1470"/>
    <x v="1466"/>
    <x v="1"/>
    <x v="1"/>
    <x v="1"/>
    <x v="1479"/>
    <x v="1"/>
  </r>
  <r>
    <x v="107"/>
    <x v="2"/>
    <x v="3"/>
    <x v="2"/>
    <x v="5"/>
    <x v="1456"/>
    <x v="1471"/>
    <x v="1467"/>
    <x v="1"/>
    <x v="1"/>
    <x v="1"/>
    <x v="1480"/>
    <x v="1"/>
  </r>
  <r>
    <x v="32"/>
    <x v="5"/>
    <x v="1"/>
    <x v="0"/>
    <x v="8"/>
    <x v="1457"/>
    <x v="1472"/>
    <x v="1468"/>
    <x v="1"/>
    <x v="1"/>
    <x v="1"/>
    <x v="1481"/>
    <x v="1"/>
  </r>
  <r>
    <x v="19"/>
    <x v="6"/>
    <x v="0"/>
    <x v="7"/>
    <x v="1"/>
    <x v="1458"/>
    <x v="1473"/>
    <x v="1469"/>
    <x v="1"/>
    <x v="1"/>
    <x v="1"/>
    <x v="1482"/>
    <x v="1"/>
  </r>
  <r>
    <x v="60"/>
    <x v="2"/>
    <x v="0"/>
    <x v="2"/>
    <x v="1"/>
    <x v="1459"/>
    <x v="1474"/>
    <x v="1470"/>
    <x v="1"/>
    <x v="1"/>
    <x v="1"/>
    <x v="1483"/>
    <x v="1"/>
  </r>
  <r>
    <x v="38"/>
    <x v="6"/>
    <x v="0"/>
    <x v="4"/>
    <x v="0"/>
    <x v="1460"/>
    <x v="1475"/>
    <x v="1471"/>
    <x v="1"/>
    <x v="1"/>
    <x v="1"/>
    <x v="1484"/>
    <x v="1"/>
  </r>
  <r>
    <x v="94"/>
    <x v="1"/>
    <x v="2"/>
    <x v="1"/>
    <x v="9"/>
    <x v="1461"/>
    <x v="1476"/>
    <x v="1472"/>
    <x v="1"/>
    <x v="1"/>
    <x v="1"/>
    <x v="1485"/>
    <x v="1"/>
  </r>
  <r>
    <x v="165"/>
    <x v="4"/>
    <x v="3"/>
    <x v="3"/>
    <x v="0"/>
    <x v="1462"/>
    <x v="1477"/>
    <x v="1473"/>
    <x v="1"/>
    <x v="1"/>
    <x v="1"/>
    <x v="1486"/>
    <x v="1"/>
  </r>
  <r>
    <x v="66"/>
    <x v="3"/>
    <x v="2"/>
    <x v="7"/>
    <x v="2"/>
    <x v="1463"/>
    <x v="1478"/>
    <x v="1474"/>
    <x v="1"/>
    <x v="1"/>
    <x v="1"/>
    <x v="1487"/>
    <x v="1"/>
  </r>
  <r>
    <x v="174"/>
    <x v="0"/>
    <x v="3"/>
    <x v="6"/>
    <x v="2"/>
    <x v="1464"/>
    <x v="1479"/>
    <x v="1475"/>
    <x v="1"/>
    <x v="1"/>
    <x v="1"/>
    <x v="1488"/>
    <x v="1"/>
  </r>
  <r>
    <x v="122"/>
    <x v="6"/>
    <x v="3"/>
    <x v="4"/>
    <x v="8"/>
    <x v="1465"/>
    <x v="1480"/>
    <x v="1476"/>
    <x v="1"/>
    <x v="1"/>
    <x v="1"/>
    <x v="1489"/>
    <x v="1"/>
  </r>
  <r>
    <x v="80"/>
    <x v="2"/>
    <x v="0"/>
    <x v="4"/>
    <x v="5"/>
    <x v="1466"/>
    <x v="1481"/>
    <x v="1477"/>
    <x v="1"/>
    <x v="1"/>
    <x v="1"/>
    <x v="1490"/>
    <x v="1"/>
  </r>
  <r>
    <x v="40"/>
    <x v="1"/>
    <x v="2"/>
    <x v="2"/>
    <x v="7"/>
    <x v="1467"/>
    <x v="1482"/>
    <x v="1478"/>
    <x v="1"/>
    <x v="1"/>
    <x v="1"/>
    <x v="1491"/>
    <x v="1"/>
  </r>
  <r>
    <x v="22"/>
    <x v="3"/>
    <x v="1"/>
    <x v="1"/>
    <x v="5"/>
    <x v="794"/>
    <x v="1483"/>
    <x v="1479"/>
    <x v="1"/>
    <x v="1"/>
    <x v="1"/>
    <x v="1492"/>
    <x v="1"/>
  </r>
  <r>
    <x v="139"/>
    <x v="5"/>
    <x v="2"/>
    <x v="0"/>
    <x v="5"/>
    <x v="1468"/>
    <x v="1484"/>
    <x v="1480"/>
    <x v="1"/>
    <x v="1"/>
    <x v="1"/>
    <x v="1493"/>
    <x v="1"/>
  </r>
  <r>
    <x v="147"/>
    <x v="1"/>
    <x v="3"/>
    <x v="7"/>
    <x v="3"/>
    <x v="1469"/>
    <x v="1485"/>
    <x v="1481"/>
    <x v="1"/>
    <x v="1"/>
    <x v="1"/>
    <x v="1494"/>
    <x v="1"/>
  </r>
  <r>
    <x v="179"/>
    <x v="6"/>
    <x v="1"/>
    <x v="0"/>
    <x v="3"/>
    <x v="1470"/>
    <x v="1486"/>
    <x v="1482"/>
    <x v="1"/>
    <x v="1"/>
    <x v="1"/>
    <x v="1495"/>
    <x v="1"/>
  </r>
  <r>
    <x v="62"/>
    <x v="2"/>
    <x v="2"/>
    <x v="6"/>
    <x v="0"/>
    <x v="1471"/>
    <x v="1487"/>
    <x v="1483"/>
    <x v="1"/>
    <x v="1"/>
    <x v="1"/>
    <x v="1496"/>
    <x v="1"/>
  </r>
  <r>
    <x v="9"/>
    <x v="5"/>
    <x v="0"/>
    <x v="6"/>
    <x v="1"/>
    <x v="1472"/>
    <x v="1488"/>
    <x v="1484"/>
    <x v="1"/>
    <x v="1"/>
    <x v="1"/>
    <x v="1497"/>
    <x v="1"/>
  </r>
  <r>
    <x v="157"/>
    <x v="0"/>
    <x v="1"/>
    <x v="7"/>
    <x v="4"/>
    <x v="1473"/>
    <x v="1489"/>
    <x v="1485"/>
    <x v="1"/>
    <x v="1"/>
    <x v="1"/>
    <x v="1498"/>
    <x v="1"/>
  </r>
  <r>
    <x v="161"/>
    <x v="0"/>
    <x v="2"/>
    <x v="7"/>
    <x v="4"/>
    <x v="1474"/>
    <x v="1490"/>
    <x v="1486"/>
    <x v="1"/>
    <x v="1"/>
    <x v="1"/>
    <x v="1499"/>
    <x v="1"/>
  </r>
  <r>
    <x v="164"/>
    <x v="6"/>
    <x v="2"/>
    <x v="4"/>
    <x v="8"/>
    <x v="1475"/>
    <x v="1491"/>
    <x v="1487"/>
    <x v="1"/>
    <x v="1"/>
    <x v="1"/>
    <x v="1500"/>
    <x v="1"/>
  </r>
  <r>
    <x v="4"/>
    <x v="6"/>
    <x v="3"/>
    <x v="2"/>
    <x v="7"/>
    <x v="1476"/>
    <x v="1492"/>
    <x v="1488"/>
    <x v="1"/>
    <x v="1"/>
    <x v="1"/>
    <x v="1501"/>
    <x v="1"/>
  </r>
  <r>
    <x v="51"/>
    <x v="3"/>
    <x v="3"/>
    <x v="2"/>
    <x v="1"/>
    <x v="1477"/>
    <x v="1493"/>
    <x v="1489"/>
    <x v="1"/>
    <x v="1"/>
    <x v="1"/>
    <x v="1502"/>
    <x v="1"/>
  </r>
  <r>
    <x v="26"/>
    <x v="5"/>
    <x v="2"/>
    <x v="3"/>
    <x v="1"/>
    <x v="1478"/>
    <x v="1494"/>
    <x v="1490"/>
    <x v="1"/>
    <x v="1"/>
    <x v="1"/>
    <x v="1503"/>
    <x v="1"/>
  </r>
  <r>
    <x v="148"/>
    <x v="6"/>
    <x v="2"/>
    <x v="6"/>
    <x v="0"/>
    <x v="1479"/>
    <x v="1495"/>
    <x v="1491"/>
    <x v="1"/>
    <x v="1"/>
    <x v="1"/>
    <x v="1504"/>
    <x v="1"/>
  </r>
  <r>
    <x v="110"/>
    <x v="5"/>
    <x v="1"/>
    <x v="7"/>
    <x v="6"/>
    <x v="1480"/>
    <x v="1496"/>
    <x v="1492"/>
    <x v="1"/>
    <x v="1"/>
    <x v="1"/>
    <x v="1505"/>
    <x v="1"/>
  </r>
  <r>
    <x v="154"/>
    <x v="2"/>
    <x v="0"/>
    <x v="3"/>
    <x v="0"/>
    <x v="1481"/>
    <x v="1497"/>
    <x v="1493"/>
    <x v="1"/>
    <x v="1"/>
    <x v="1"/>
    <x v="1506"/>
    <x v="1"/>
  </r>
  <r>
    <x v="153"/>
    <x v="2"/>
    <x v="2"/>
    <x v="7"/>
    <x v="3"/>
    <x v="1482"/>
    <x v="1498"/>
    <x v="1494"/>
    <x v="1"/>
    <x v="1"/>
    <x v="1"/>
    <x v="1507"/>
    <x v="1"/>
  </r>
  <r>
    <x v="80"/>
    <x v="0"/>
    <x v="1"/>
    <x v="7"/>
    <x v="6"/>
    <x v="1483"/>
    <x v="1499"/>
    <x v="1495"/>
    <x v="1"/>
    <x v="1"/>
    <x v="1"/>
    <x v="1508"/>
    <x v="1"/>
  </r>
  <r>
    <x v="55"/>
    <x v="2"/>
    <x v="0"/>
    <x v="2"/>
    <x v="3"/>
    <x v="1484"/>
    <x v="1500"/>
    <x v="1496"/>
    <x v="1"/>
    <x v="1"/>
    <x v="1"/>
    <x v="1509"/>
    <x v="1"/>
  </r>
  <r>
    <x v="158"/>
    <x v="3"/>
    <x v="0"/>
    <x v="2"/>
    <x v="2"/>
    <x v="1485"/>
    <x v="1501"/>
    <x v="1497"/>
    <x v="1"/>
    <x v="1"/>
    <x v="1"/>
    <x v="1510"/>
    <x v="1"/>
  </r>
  <r>
    <x v="116"/>
    <x v="3"/>
    <x v="3"/>
    <x v="2"/>
    <x v="3"/>
    <x v="1486"/>
    <x v="1502"/>
    <x v="1498"/>
    <x v="1"/>
    <x v="1"/>
    <x v="1"/>
    <x v="1511"/>
    <x v="1"/>
  </r>
  <r>
    <x v="43"/>
    <x v="0"/>
    <x v="1"/>
    <x v="1"/>
    <x v="6"/>
    <x v="1487"/>
    <x v="1503"/>
    <x v="1499"/>
    <x v="1"/>
    <x v="1"/>
    <x v="1"/>
    <x v="1512"/>
    <x v="1"/>
  </r>
  <r>
    <x v="95"/>
    <x v="6"/>
    <x v="1"/>
    <x v="1"/>
    <x v="9"/>
    <x v="85"/>
    <x v="1504"/>
    <x v="1500"/>
    <x v="1"/>
    <x v="1"/>
    <x v="1"/>
    <x v="1513"/>
    <x v="1"/>
  </r>
  <r>
    <x v="17"/>
    <x v="2"/>
    <x v="1"/>
    <x v="6"/>
    <x v="3"/>
    <x v="1488"/>
    <x v="1505"/>
    <x v="1501"/>
    <x v="1"/>
    <x v="1"/>
    <x v="1"/>
    <x v="1514"/>
    <x v="1"/>
  </r>
  <r>
    <x v="66"/>
    <x v="4"/>
    <x v="0"/>
    <x v="0"/>
    <x v="7"/>
    <x v="1489"/>
    <x v="1506"/>
    <x v="1502"/>
    <x v="1"/>
    <x v="1"/>
    <x v="1"/>
    <x v="1515"/>
    <x v="1"/>
  </r>
  <r>
    <x v="151"/>
    <x v="2"/>
    <x v="2"/>
    <x v="7"/>
    <x v="0"/>
    <x v="1490"/>
    <x v="1507"/>
    <x v="1503"/>
    <x v="1"/>
    <x v="1"/>
    <x v="1"/>
    <x v="1516"/>
    <x v="1"/>
  </r>
  <r>
    <x v="158"/>
    <x v="3"/>
    <x v="3"/>
    <x v="4"/>
    <x v="1"/>
    <x v="1491"/>
    <x v="1508"/>
    <x v="1504"/>
    <x v="1"/>
    <x v="1"/>
    <x v="1"/>
    <x v="1517"/>
    <x v="1"/>
  </r>
  <r>
    <x v="23"/>
    <x v="4"/>
    <x v="2"/>
    <x v="4"/>
    <x v="3"/>
    <x v="1492"/>
    <x v="1509"/>
    <x v="1505"/>
    <x v="1"/>
    <x v="1"/>
    <x v="1"/>
    <x v="1518"/>
    <x v="1"/>
  </r>
  <r>
    <x v="34"/>
    <x v="1"/>
    <x v="1"/>
    <x v="7"/>
    <x v="7"/>
    <x v="1493"/>
    <x v="1510"/>
    <x v="1506"/>
    <x v="1"/>
    <x v="1"/>
    <x v="1"/>
    <x v="1519"/>
    <x v="1"/>
  </r>
  <r>
    <x v="179"/>
    <x v="5"/>
    <x v="2"/>
    <x v="3"/>
    <x v="5"/>
    <x v="1494"/>
    <x v="1511"/>
    <x v="1507"/>
    <x v="1"/>
    <x v="1"/>
    <x v="1"/>
    <x v="1520"/>
    <x v="1"/>
  </r>
  <r>
    <x v="158"/>
    <x v="5"/>
    <x v="2"/>
    <x v="4"/>
    <x v="4"/>
    <x v="1495"/>
    <x v="1512"/>
    <x v="1508"/>
    <x v="1"/>
    <x v="1"/>
    <x v="1"/>
    <x v="1521"/>
    <x v="1"/>
  </r>
  <r>
    <x v="42"/>
    <x v="3"/>
    <x v="3"/>
    <x v="1"/>
    <x v="8"/>
    <x v="1496"/>
    <x v="1513"/>
    <x v="1509"/>
    <x v="1"/>
    <x v="1"/>
    <x v="1"/>
    <x v="1522"/>
    <x v="1"/>
  </r>
  <r>
    <x v="179"/>
    <x v="3"/>
    <x v="3"/>
    <x v="1"/>
    <x v="5"/>
    <x v="1497"/>
    <x v="1514"/>
    <x v="1510"/>
    <x v="1"/>
    <x v="1"/>
    <x v="1"/>
    <x v="1523"/>
    <x v="1"/>
  </r>
  <r>
    <x v="38"/>
    <x v="4"/>
    <x v="2"/>
    <x v="0"/>
    <x v="2"/>
    <x v="1498"/>
    <x v="1515"/>
    <x v="1511"/>
    <x v="1"/>
    <x v="1"/>
    <x v="1"/>
    <x v="1524"/>
    <x v="1"/>
  </r>
  <r>
    <x v="146"/>
    <x v="0"/>
    <x v="2"/>
    <x v="3"/>
    <x v="5"/>
    <x v="1499"/>
    <x v="1516"/>
    <x v="1512"/>
    <x v="1"/>
    <x v="1"/>
    <x v="1"/>
    <x v="1525"/>
    <x v="1"/>
  </r>
  <r>
    <x v="103"/>
    <x v="1"/>
    <x v="3"/>
    <x v="7"/>
    <x v="7"/>
    <x v="1500"/>
    <x v="1517"/>
    <x v="1513"/>
    <x v="1"/>
    <x v="1"/>
    <x v="1"/>
    <x v="1526"/>
    <x v="1"/>
  </r>
  <r>
    <x v="87"/>
    <x v="4"/>
    <x v="1"/>
    <x v="1"/>
    <x v="3"/>
    <x v="1501"/>
    <x v="1518"/>
    <x v="1514"/>
    <x v="1"/>
    <x v="1"/>
    <x v="1"/>
    <x v="1527"/>
    <x v="1"/>
  </r>
  <r>
    <x v="129"/>
    <x v="4"/>
    <x v="0"/>
    <x v="4"/>
    <x v="7"/>
    <x v="1502"/>
    <x v="1519"/>
    <x v="1515"/>
    <x v="1"/>
    <x v="1"/>
    <x v="1"/>
    <x v="1528"/>
    <x v="1"/>
  </r>
  <r>
    <x v="5"/>
    <x v="2"/>
    <x v="1"/>
    <x v="0"/>
    <x v="5"/>
    <x v="1503"/>
    <x v="1520"/>
    <x v="1516"/>
    <x v="1"/>
    <x v="1"/>
    <x v="1"/>
    <x v="1529"/>
    <x v="1"/>
  </r>
  <r>
    <x v="33"/>
    <x v="1"/>
    <x v="2"/>
    <x v="7"/>
    <x v="4"/>
    <x v="1504"/>
    <x v="1521"/>
    <x v="1517"/>
    <x v="1"/>
    <x v="1"/>
    <x v="1"/>
    <x v="1530"/>
    <x v="1"/>
  </r>
  <r>
    <x v="40"/>
    <x v="2"/>
    <x v="2"/>
    <x v="6"/>
    <x v="8"/>
    <x v="1505"/>
    <x v="1522"/>
    <x v="1518"/>
    <x v="1"/>
    <x v="1"/>
    <x v="1"/>
    <x v="1531"/>
    <x v="1"/>
  </r>
  <r>
    <x v="6"/>
    <x v="3"/>
    <x v="1"/>
    <x v="6"/>
    <x v="6"/>
    <x v="1506"/>
    <x v="1523"/>
    <x v="1519"/>
    <x v="1"/>
    <x v="1"/>
    <x v="1"/>
    <x v="1532"/>
    <x v="1"/>
  </r>
  <r>
    <x v="103"/>
    <x v="4"/>
    <x v="3"/>
    <x v="4"/>
    <x v="2"/>
    <x v="1507"/>
    <x v="1524"/>
    <x v="1520"/>
    <x v="1"/>
    <x v="1"/>
    <x v="1"/>
    <x v="1533"/>
    <x v="1"/>
  </r>
  <r>
    <x v="38"/>
    <x v="4"/>
    <x v="2"/>
    <x v="1"/>
    <x v="7"/>
    <x v="1508"/>
    <x v="1525"/>
    <x v="1521"/>
    <x v="1"/>
    <x v="1"/>
    <x v="1"/>
    <x v="1534"/>
    <x v="1"/>
  </r>
  <r>
    <x v="99"/>
    <x v="2"/>
    <x v="1"/>
    <x v="0"/>
    <x v="8"/>
    <x v="1509"/>
    <x v="1526"/>
    <x v="1522"/>
    <x v="1"/>
    <x v="1"/>
    <x v="1"/>
    <x v="1535"/>
    <x v="1"/>
  </r>
  <r>
    <x v="13"/>
    <x v="6"/>
    <x v="2"/>
    <x v="1"/>
    <x v="8"/>
    <x v="1510"/>
    <x v="1527"/>
    <x v="1523"/>
    <x v="1"/>
    <x v="1"/>
    <x v="1"/>
    <x v="1536"/>
    <x v="1"/>
  </r>
  <r>
    <x v="127"/>
    <x v="6"/>
    <x v="3"/>
    <x v="6"/>
    <x v="9"/>
    <x v="1511"/>
    <x v="1528"/>
    <x v="1524"/>
    <x v="1"/>
    <x v="1"/>
    <x v="1"/>
    <x v="1537"/>
    <x v="1"/>
  </r>
  <r>
    <x v="163"/>
    <x v="3"/>
    <x v="2"/>
    <x v="5"/>
    <x v="3"/>
    <x v="1512"/>
    <x v="1529"/>
    <x v="1525"/>
    <x v="1"/>
    <x v="1"/>
    <x v="1"/>
    <x v="1538"/>
    <x v="1"/>
  </r>
  <r>
    <x v="41"/>
    <x v="1"/>
    <x v="2"/>
    <x v="6"/>
    <x v="2"/>
    <x v="1513"/>
    <x v="1530"/>
    <x v="1526"/>
    <x v="1"/>
    <x v="1"/>
    <x v="1"/>
    <x v="1539"/>
    <x v="1"/>
  </r>
  <r>
    <x v="78"/>
    <x v="4"/>
    <x v="2"/>
    <x v="1"/>
    <x v="1"/>
    <x v="1514"/>
    <x v="1531"/>
    <x v="1527"/>
    <x v="1"/>
    <x v="1"/>
    <x v="1"/>
    <x v="1540"/>
    <x v="1"/>
  </r>
  <r>
    <x v="139"/>
    <x v="5"/>
    <x v="3"/>
    <x v="1"/>
    <x v="2"/>
    <x v="1515"/>
    <x v="1532"/>
    <x v="1528"/>
    <x v="1"/>
    <x v="1"/>
    <x v="1"/>
    <x v="1541"/>
    <x v="1"/>
  </r>
  <r>
    <x v="172"/>
    <x v="6"/>
    <x v="3"/>
    <x v="3"/>
    <x v="9"/>
    <x v="1516"/>
    <x v="1533"/>
    <x v="1529"/>
    <x v="1"/>
    <x v="1"/>
    <x v="1"/>
    <x v="1542"/>
    <x v="1"/>
  </r>
  <r>
    <x v="135"/>
    <x v="3"/>
    <x v="3"/>
    <x v="7"/>
    <x v="2"/>
    <x v="1517"/>
    <x v="1534"/>
    <x v="1530"/>
    <x v="1"/>
    <x v="1"/>
    <x v="1"/>
    <x v="1543"/>
    <x v="1"/>
  </r>
  <r>
    <x v="125"/>
    <x v="3"/>
    <x v="0"/>
    <x v="1"/>
    <x v="7"/>
    <x v="1518"/>
    <x v="1535"/>
    <x v="1531"/>
    <x v="1"/>
    <x v="1"/>
    <x v="1"/>
    <x v="1544"/>
    <x v="1"/>
  </r>
  <r>
    <x v="99"/>
    <x v="4"/>
    <x v="0"/>
    <x v="6"/>
    <x v="7"/>
    <x v="1519"/>
    <x v="1536"/>
    <x v="1532"/>
    <x v="1"/>
    <x v="1"/>
    <x v="1"/>
    <x v="1545"/>
    <x v="1"/>
  </r>
  <r>
    <x v="15"/>
    <x v="5"/>
    <x v="2"/>
    <x v="2"/>
    <x v="4"/>
    <x v="1520"/>
    <x v="1537"/>
    <x v="1533"/>
    <x v="1"/>
    <x v="1"/>
    <x v="1"/>
    <x v="1546"/>
    <x v="1"/>
  </r>
  <r>
    <x v="150"/>
    <x v="1"/>
    <x v="2"/>
    <x v="5"/>
    <x v="0"/>
    <x v="1521"/>
    <x v="1538"/>
    <x v="1534"/>
    <x v="1"/>
    <x v="1"/>
    <x v="1"/>
    <x v="1547"/>
    <x v="1"/>
  </r>
  <r>
    <x v="139"/>
    <x v="5"/>
    <x v="2"/>
    <x v="3"/>
    <x v="3"/>
    <x v="1522"/>
    <x v="1539"/>
    <x v="1535"/>
    <x v="1"/>
    <x v="1"/>
    <x v="1"/>
    <x v="1548"/>
    <x v="1"/>
  </r>
  <r>
    <x v="59"/>
    <x v="2"/>
    <x v="0"/>
    <x v="7"/>
    <x v="7"/>
    <x v="1523"/>
    <x v="1540"/>
    <x v="1536"/>
    <x v="1"/>
    <x v="1"/>
    <x v="1"/>
    <x v="1549"/>
    <x v="1"/>
  </r>
  <r>
    <x v="66"/>
    <x v="4"/>
    <x v="3"/>
    <x v="7"/>
    <x v="0"/>
    <x v="35"/>
    <x v="1541"/>
    <x v="1537"/>
    <x v="1"/>
    <x v="1"/>
    <x v="1"/>
    <x v="1550"/>
    <x v="1"/>
  </r>
  <r>
    <x v="32"/>
    <x v="5"/>
    <x v="3"/>
    <x v="4"/>
    <x v="6"/>
    <x v="1524"/>
    <x v="1542"/>
    <x v="1538"/>
    <x v="1"/>
    <x v="1"/>
    <x v="1"/>
    <x v="1551"/>
    <x v="1"/>
  </r>
  <r>
    <x v="39"/>
    <x v="2"/>
    <x v="2"/>
    <x v="5"/>
    <x v="3"/>
    <x v="1525"/>
    <x v="1543"/>
    <x v="1539"/>
    <x v="1"/>
    <x v="1"/>
    <x v="1"/>
    <x v="1552"/>
    <x v="1"/>
  </r>
  <r>
    <x v="180"/>
    <x v="0"/>
    <x v="3"/>
    <x v="1"/>
    <x v="7"/>
    <x v="1526"/>
    <x v="1544"/>
    <x v="1540"/>
    <x v="1"/>
    <x v="1"/>
    <x v="1"/>
    <x v="1553"/>
    <x v="1"/>
  </r>
  <r>
    <x v="117"/>
    <x v="4"/>
    <x v="1"/>
    <x v="1"/>
    <x v="3"/>
    <x v="1527"/>
    <x v="1545"/>
    <x v="1541"/>
    <x v="1"/>
    <x v="1"/>
    <x v="1"/>
    <x v="1554"/>
    <x v="1"/>
  </r>
  <r>
    <x v="158"/>
    <x v="3"/>
    <x v="0"/>
    <x v="6"/>
    <x v="3"/>
    <x v="1528"/>
    <x v="1546"/>
    <x v="1542"/>
    <x v="1"/>
    <x v="1"/>
    <x v="1"/>
    <x v="1555"/>
    <x v="1"/>
  </r>
  <r>
    <x v="70"/>
    <x v="1"/>
    <x v="0"/>
    <x v="2"/>
    <x v="6"/>
    <x v="1529"/>
    <x v="1547"/>
    <x v="1543"/>
    <x v="1"/>
    <x v="1"/>
    <x v="1"/>
    <x v="1556"/>
    <x v="1"/>
  </r>
  <r>
    <x v="113"/>
    <x v="3"/>
    <x v="3"/>
    <x v="2"/>
    <x v="3"/>
    <x v="1530"/>
    <x v="1548"/>
    <x v="1544"/>
    <x v="1"/>
    <x v="1"/>
    <x v="1"/>
    <x v="1557"/>
    <x v="1"/>
  </r>
  <r>
    <x v="15"/>
    <x v="6"/>
    <x v="0"/>
    <x v="5"/>
    <x v="4"/>
    <x v="1531"/>
    <x v="1549"/>
    <x v="1545"/>
    <x v="1"/>
    <x v="1"/>
    <x v="1"/>
    <x v="1558"/>
    <x v="1"/>
  </r>
  <r>
    <x v="163"/>
    <x v="5"/>
    <x v="3"/>
    <x v="1"/>
    <x v="0"/>
    <x v="1532"/>
    <x v="1550"/>
    <x v="1546"/>
    <x v="1"/>
    <x v="1"/>
    <x v="1"/>
    <x v="1559"/>
    <x v="1"/>
  </r>
  <r>
    <x v="74"/>
    <x v="4"/>
    <x v="3"/>
    <x v="0"/>
    <x v="1"/>
    <x v="1533"/>
    <x v="1551"/>
    <x v="1547"/>
    <x v="1"/>
    <x v="1"/>
    <x v="1"/>
    <x v="1560"/>
    <x v="1"/>
  </r>
  <r>
    <x v="65"/>
    <x v="2"/>
    <x v="0"/>
    <x v="2"/>
    <x v="3"/>
    <x v="1534"/>
    <x v="1552"/>
    <x v="1548"/>
    <x v="1"/>
    <x v="1"/>
    <x v="1"/>
    <x v="1561"/>
    <x v="1"/>
  </r>
  <r>
    <x v="84"/>
    <x v="6"/>
    <x v="1"/>
    <x v="7"/>
    <x v="5"/>
    <x v="1535"/>
    <x v="1553"/>
    <x v="1549"/>
    <x v="1"/>
    <x v="1"/>
    <x v="1"/>
    <x v="1562"/>
    <x v="1"/>
  </r>
  <r>
    <x v="151"/>
    <x v="0"/>
    <x v="1"/>
    <x v="1"/>
    <x v="3"/>
    <x v="1536"/>
    <x v="1554"/>
    <x v="1550"/>
    <x v="1"/>
    <x v="1"/>
    <x v="1"/>
    <x v="1563"/>
    <x v="1"/>
  </r>
  <r>
    <x v="45"/>
    <x v="3"/>
    <x v="2"/>
    <x v="2"/>
    <x v="8"/>
    <x v="1537"/>
    <x v="1555"/>
    <x v="1551"/>
    <x v="1"/>
    <x v="1"/>
    <x v="1"/>
    <x v="1564"/>
    <x v="1"/>
  </r>
  <r>
    <x v="127"/>
    <x v="2"/>
    <x v="1"/>
    <x v="7"/>
    <x v="9"/>
    <x v="1538"/>
    <x v="1556"/>
    <x v="1552"/>
    <x v="1"/>
    <x v="1"/>
    <x v="1"/>
    <x v="1565"/>
    <x v="1"/>
  </r>
  <r>
    <x v="109"/>
    <x v="0"/>
    <x v="3"/>
    <x v="1"/>
    <x v="8"/>
    <x v="1539"/>
    <x v="1557"/>
    <x v="1553"/>
    <x v="1"/>
    <x v="1"/>
    <x v="1"/>
    <x v="1566"/>
    <x v="1"/>
  </r>
  <r>
    <x v="47"/>
    <x v="4"/>
    <x v="2"/>
    <x v="4"/>
    <x v="2"/>
    <x v="1540"/>
    <x v="1558"/>
    <x v="1554"/>
    <x v="1"/>
    <x v="1"/>
    <x v="1"/>
    <x v="1567"/>
    <x v="1"/>
  </r>
  <r>
    <x v="38"/>
    <x v="3"/>
    <x v="0"/>
    <x v="1"/>
    <x v="3"/>
    <x v="1541"/>
    <x v="1559"/>
    <x v="1555"/>
    <x v="1"/>
    <x v="1"/>
    <x v="1"/>
    <x v="1568"/>
    <x v="1"/>
  </r>
  <r>
    <x v="81"/>
    <x v="6"/>
    <x v="0"/>
    <x v="0"/>
    <x v="9"/>
    <x v="1542"/>
    <x v="1560"/>
    <x v="1556"/>
    <x v="1"/>
    <x v="1"/>
    <x v="1"/>
    <x v="1569"/>
    <x v="1"/>
  </r>
  <r>
    <x v="17"/>
    <x v="0"/>
    <x v="0"/>
    <x v="3"/>
    <x v="1"/>
    <x v="387"/>
    <x v="1561"/>
    <x v="1557"/>
    <x v="1"/>
    <x v="1"/>
    <x v="1"/>
    <x v="1570"/>
    <x v="1"/>
  </r>
  <r>
    <x v="40"/>
    <x v="2"/>
    <x v="2"/>
    <x v="1"/>
    <x v="1"/>
    <x v="1543"/>
    <x v="1562"/>
    <x v="1558"/>
    <x v="1"/>
    <x v="1"/>
    <x v="1"/>
    <x v="1571"/>
    <x v="1"/>
  </r>
  <r>
    <x v="17"/>
    <x v="2"/>
    <x v="2"/>
    <x v="3"/>
    <x v="7"/>
    <x v="1544"/>
    <x v="1563"/>
    <x v="1559"/>
    <x v="1"/>
    <x v="1"/>
    <x v="1"/>
    <x v="1572"/>
    <x v="1"/>
  </r>
  <r>
    <x v="18"/>
    <x v="4"/>
    <x v="3"/>
    <x v="6"/>
    <x v="6"/>
    <x v="1545"/>
    <x v="1564"/>
    <x v="1560"/>
    <x v="1"/>
    <x v="1"/>
    <x v="1"/>
    <x v="1573"/>
    <x v="1"/>
  </r>
  <r>
    <x v="92"/>
    <x v="2"/>
    <x v="3"/>
    <x v="6"/>
    <x v="0"/>
    <x v="1546"/>
    <x v="1565"/>
    <x v="1561"/>
    <x v="1"/>
    <x v="1"/>
    <x v="1"/>
    <x v="1574"/>
    <x v="1"/>
  </r>
  <r>
    <x v="11"/>
    <x v="0"/>
    <x v="0"/>
    <x v="0"/>
    <x v="2"/>
    <x v="1547"/>
    <x v="1566"/>
    <x v="1562"/>
    <x v="1"/>
    <x v="1"/>
    <x v="1"/>
    <x v="1575"/>
    <x v="1"/>
  </r>
  <r>
    <x v="166"/>
    <x v="0"/>
    <x v="1"/>
    <x v="4"/>
    <x v="4"/>
    <x v="1548"/>
    <x v="1567"/>
    <x v="1563"/>
    <x v="1"/>
    <x v="1"/>
    <x v="1"/>
    <x v="1576"/>
    <x v="1"/>
  </r>
  <r>
    <x v="67"/>
    <x v="6"/>
    <x v="2"/>
    <x v="0"/>
    <x v="6"/>
    <x v="1549"/>
    <x v="1568"/>
    <x v="1564"/>
    <x v="1"/>
    <x v="1"/>
    <x v="1"/>
    <x v="1577"/>
    <x v="1"/>
  </r>
  <r>
    <x v="52"/>
    <x v="1"/>
    <x v="1"/>
    <x v="4"/>
    <x v="7"/>
    <x v="1550"/>
    <x v="1569"/>
    <x v="1565"/>
    <x v="1"/>
    <x v="1"/>
    <x v="1"/>
    <x v="1578"/>
    <x v="1"/>
  </r>
  <r>
    <x v="35"/>
    <x v="3"/>
    <x v="0"/>
    <x v="2"/>
    <x v="9"/>
    <x v="1551"/>
    <x v="1570"/>
    <x v="1566"/>
    <x v="1"/>
    <x v="1"/>
    <x v="1"/>
    <x v="1579"/>
    <x v="1"/>
  </r>
  <r>
    <x v="2"/>
    <x v="6"/>
    <x v="0"/>
    <x v="2"/>
    <x v="8"/>
    <x v="1552"/>
    <x v="1571"/>
    <x v="1567"/>
    <x v="1"/>
    <x v="1"/>
    <x v="1"/>
    <x v="1580"/>
    <x v="1"/>
  </r>
  <r>
    <x v="136"/>
    <x v="1"/>
    <x v="1"/>
    <x v="7"/>
    <x v="2"/>
    <x v="1553"/>
    <x v="1572"/>
    <x v="1568"/>
    <x v="1"/>
    <x v="1"/>
    <x v="1"/>
    <x v="1581"/>
    <x v="1"/>
  </r>
  <r>
    <x v="134"/>
    <x v="0"/>
    <x v="1"/>
    <x v="5"/>
    <x v="3"/>
    <x v="1554"/>
    <x v="1573"/>
    <x v="1569"/>
    <x v="1"/>
    <x v="1"/>
    <x v="1"/>
    <x v="1582"/>
    <x v="1"/>
  </r>
  <r>
    <x v="55"/>
    <x v="1"/>
    <x v="3"/>
    <x v="4"/>
    <x v="3"/>
    <x v="1555"/>
    <x v="1574"/>
    <x v="1570"/>
    <x v="1"/>
    <x v="1"/>
    <x v="1"/>
    <x v="1583"/>
    <x v="1"/>
  </r>
  <r>
    <x v="120"/>
    <x v="2"/>
    <x v="2"/>
    <x v="7"/>
    <x v="2"/>
    <x v="1556"/>
    <x v="1575"/>
    <x v="1571"/>
    <x v="1"/>
    <x v="1"/>
    <x v="1"/>
    <x v="1584"/>
    <x v="1"/>
  </r>
  <r>
    <x v="23"/>
    <x v="3"/>
    <x v="0"/>
    <x v="7"/>
    <x v="9"/>
    <x v="1557"/>
    <x v="1576"/>
    <x v="1572"/>
    <x v="1"/>
    <x v="1"/>
    <x v="1"/>
    <x v="1585"/>
    <x v="1"/>
  </r>
  <r>
    <x v="148"/>
    <x v="4"/>
    <x v="2"/>
    <x v="3"/>
    <x v="4"/>
    <x v="1558"/>
    <x v="1577"/>
    <x v="1573"/>
    <x v="1"/>
    <x v="1"/>
    <x v="1"/>
    <x v="1586"/>
    <x v="1"/>
  </r>
  <r>
    <x v="21"/>
    <x v="3"/>
    <x v="1"/>
    <x v="7"/>
    <x v="3"/>
    <x v="1559"/>
    <x v="1578"/>
    <x v="1574"/>
    <x v="1"/>
    <x v="1"/>
    <x v="1"/>
    <x v="1587"/>
    <x v="1"/>
  </r>
  <r>
    <x v="9"/>
    <x v="4"/>
    <x v="3"/>
    <x v="1"/>
    <x v="9"/>
    <x v="1560"/>
    <x v="1579"/>
    <x v="1575"/>
    <x v="1"/>
    <x v="1"/>
    <x v="1"/>
    <x v="1588"/>
    <x v="1"/>
  </r>
  <r>
    <x v="38"/>
    <x v="4"/>
    <x v="0"/>
    <x v="0"/>
    <x v="0"/>
    <x v="1561"/>
    <x v="1580"/>
    <x v="1576"/>
    <x v="1"/>
    <x v="1"/>
    <x v="1"/>
    <x v="1589"/>
    <x v="1"/>
  </r>
  <r>
    <x v="84"/>
    <x v="0"/>
    <x v="2"/>
    <x v="2"/>
    <x v="2"/>
    <x v="1562"/>
    <x v="1581"/>
    <x v="1577"/>
    <x v="1"/>
    <x v="1"/>
    <x v="1"/>
    <x v="1590"/>
    <x v="1"/>
  </r>
  <r>
    <x v="130"/>
    <x v="2"/>
    <x v="1"/>
    <x v="0"/>
    <x v="7"/>
    <x v="1563"/>
    <x v="1582"/>
    <x v="1578"/>
    <x v="1"/>
    <x v="1"/>
    <x v="1"/>
    <x v="1591"/>
    <x v="1"/>
  </r>
  <r>
    <x v="177"/>
    <x v="3"/>
    <x v="2"/>
    <x v="2"/>
    <x v="0"/>
    <x v="1564"/>
    <x v="1583"/>
    <x v="1579"/>
    <x v="1"/>
    <x v="1"/>
    <x v="1"/>
    <x v="1592"/>
    <x v="1"/>
  </r>
  <r>
    <x v="35"/>
    <x v="5"/>
    <x v="2"/>
    <x v="0"/>
    <x v="6"/>
    <x v="1565"/>
    <x v="1584"/>
    <x v="1580"/>
    <x v="1"/>
    <x v="1"/>
    <x v="1"/>
    <x v="1593"/>
    <x v="1"/>
  </r>
  <r>
    <x v="124"/>
    <x v="5"/>
    <x v="3"/>
    <x v="0"/>
    <x v="5"/>
    <x v="1566"/>
    <x v="317"/>
    <x v="1581"/>
    <x v="1"/>
    <x v="1"/>
    <x v="1"/>
    <x v="1594"/>
    <x v="1"/>
  </r>
  <r>
    <x v="5"/>
    <x v="0"/>
    <x v="3"/>
    <x v="4"/>
    <x v="5"/>
    <x v="1567"/>
    <x v="1585"/>
    <x v="1582"/>
    <x v="1"/>
    <x v="1"/>
    <x v="1"/>
    <x v="1595"/>
    <x v="1"/>
  </r>
  <r>
    <x v="138"/>
    <x v="1"/>
    <x v="0"/>
    <x v="1"/>
    <x v="2"/>
    <x v="1568"/>
    <x v="1586"/>
    <x v="1583"/>
    <x v="1"/>
    <x v="1"/>
    <x v="1"/>
    <x v="1596"/>
    <x v="1"/>
  </r>
  <r>
    <x v="68"/>
    <x v="5"/>
    <x v="3"/>
    <x v="0"/>
    <x v="0"/>
    <x v="1569"/>
    <x v="660"/>
    <x v="1584"/>
    <x v="1"/>
    <x v="1"/>
    <x v="1"/>
    <x v="1597"/>
    <x v="1"/>
  </r>
  <r>
    <x v="170"/>
    <x v="1"/>
    <x v="3"/>
    <x v="5"/>
    <x v="5"/>
    <x v="1570"/>
    <x v="1587"/>
    <x v="1585"/>
    <x v="1"/>
    <x v="1"/>
    <x v="1"/>
    <x v="1598"/>
    <x v="1"/>
  </r>
  <r>
    <x v="108"/>
    <x v="5"/>
    <x v="2"/>
    <x v="5"/>
    <x v="8"/>
    <x v="1571"/>
    <x v="1588"/>
    <x v="1586"/>
    <x v="1"/>
    <x v="1"/>
    <x v="1"/>
    <x v="1599"/>
    <x v="1"/>
  </r>
  <r>
    <x v="125"/>
    <x v="3"/>
    <x v="3"/>
    <x v="5"/>
    <x v="0"/>
    <x v="1572"/>
    <x v="1589"/>
    <x v="1587"/>
    <x v="1"/>
    <x v="1"/>
    <x v="1"/>
    <x v="1600"/>
    <x v="1"/>
  </r>
  <r>
    <x v="31"/>
    <x v="6"/>
    <x v="1"/>
    <x v="3"/>
    <x v="6"/>
    <x v="1573"/>
    <x v="1590"/>
    <x v="1588"/>
    <x v="1"/>
    <x v="1"/>
    <x v="1"/>
    <x v="1601"/>
    <x v="1"/>
  </r>
  <r>
    <x v="137"/>
    <x v="3"/>
    <x v="2"/>
    <x v="3"/>
    <x v="1"/>
    <x v="1574"/>
    <x v="1591"/>
    <x v="1589"/>
    <x v="1"/>
    <x v="1"/>
    <x v="1"/>
    <x v="1602"/>
    <x v="1"/>
  </r>
  <r>
    <x v="7"/>
    <x v="4"/>
    <x v="2"/>
    <x v="7"/>
    <x v="0"/>
    <x v="1575"/>
    <x v="1592"/>
    <x v="1590"/>
    <x v="1"/>
    <x v="1"/>
    <x v="1"/>
    <x v="1603"/>
    <x v="1"/>
  </r>
  <r>
    <x v="158"/>
    <x v="2"/>
    <x v="0"/>
    <x v="1"/>
    <x v="7"/>
    <x v="1576"/>
    <x v="1593"/>
    <x v="1591"/>
    <x v="1"/>
    <x v="1"/>
    <x v="1"/>
    <x v="1604"/>
    <x v="1"/>
  </r>
  <r>
    <x v="160"/>
    <x v="0"/>
    <x v="2"/>
    <x v="1"/>
    <x v="9"/>
    <x v="1577"/>
    <x v="1594"/>
    <x v="1592"/>
    <x v="1"/>
    <x v="1"/>
    <x v="1"/>
    <x v="1605"/>
    <x v="1"/>
  </r>
  <r>
    <x v="62"/>
    <x v="5"/>
    <x v="2"/>
    <x v="2"/>
    <x v="7"/>
    <x v="1578"/>
    <x v="1595"/>
    <x v="1593"/>
    <x v="1"/>
    <x v="1"/>
    <x v="1"/>
    <x v="1606"/>
    <x v="1"/>
  </r>
  <r>
    <x v="25"/>
    <x v="6"/>
    <x v="3"/>
    <x v="0"/>
    <x v="2"/>
    <x v="1579"/>
    <x v="1596"/>
    <x v="1594"/>
    <x v="1"/>
    <x v="1"/>
    <x v="1"/>
    <x v="1607"/>
    <x v="1"/>
  </r>
  <r>
    <x v="28"/>
    <x v="4"/>
    <x v="3"/>
    <x v="7"/>
    <x v="6"/>
    <x v="1478"/>
    <x v="1597"/>
    <x v="1595"/>
    <x v="1"/>
    <x v="1"/>
    <x v="1"/>
    <x v="1608"/>
    <x v="1"/>
  </r>
  <r>
    <x v="83"/>
    <x v="1"/>
    <x v="0"/>
    <x v="5"/>
    <x v="9"/>
    <x v="1580"/>
    <x v="1598"/>
    <x v="1596"/>
    <x v="1"/>
    <x v="1"/>
    <x v="1"/>
    <x v="1609"/>
    <x v="1"/>
  </r>
  <r>
    <x v="12"/>
    <x v="2"/>
    <x v="0"/>
    <x v="4"/>
    <x v="9"/>
    <x v="1581"/>
    <x v="1599"/>
    <x v="1597"/>
    <x v="1"/>
    <x v="1"/>
    <x v="1"/>
    <x v="1610"/>
    <x v="1"/>
  </r>
  <r>
    <x v="7"/>
    <x v="5"/>
    <x v="0"/>
    <x v="3"/>
    <x v="5"/>
    <x v="1582"/>
    <x v="1600"/>
    <x v="1598"/>
    <x v="1"/>
    <x v="1"/>
    <x v="1"/>
    <x v="1611"/>
    <x v="1"/>
  </r>
  <r>
    <x v="105"/>
    <x v="0"/>
    <x v="3"/>
    <x v="6"/>
    <x v="6"/>
    <x v="1583"/>
    <x v="1601"/>
    <x v="1599"/>
    <x v="1"/>
    <x v="1"/>
    <x v="1"/>
    <x v="1612"/>
    <x v="1"/>
  </r>
  <r>
    <x v="58"/>
    <x v="1"/>
    <x v="1"/>
    <x v="1"/>
    <x v="0"/>
    <x v="1584"/>
    <x v="1602"/>
    <x v="1600"/>
    <x v="1"/>
    <x v="1"/>
    <x v="1"/>
    <x v="1613"/>
    <x v="1"/>
  </r>
  <r>
    <x v="12"/>
    <x v="5"/>
    <x v="2"/>
    <x v="3"/>
    <x v="4"/>
    <x v="1585"/>
    <x v="1603"/>
    <x v="1601"/>
    <x v="1"/>
    <x v="1"/>
    <x v="1"/>
    <x v="1614"/>
    <x v="1"/>
  </r>
  <r>
    <x v="160"/>
    <x v="4"/>
    <x v="0"/>
    <x v="3"/>
    <x v="3"/>
    <x v="1586"/>
    <x v="1604"/>
    <x v="1602"/>
    <x v="1"/>
    <x v="1"/>
    <x v="1"/>
    <x v="1615"/>
    <x v="1"/>
  </r>
  <r>
    <x v="7"/>
    <x v="2"/>
    <x v="0"/>
    <x v="3"/>
    <x v="0"/>
    <x v="1587"/>
    <x v="1605"/>
    <x v="1603"/>
    <x v="1"/>
    <x v="1"/>
    <x v="1"/>
    <x v="1616"/>
    <x v="1"/>
  </r>
  <r>
    <x v="5"/>
    <x v="2"/>
    <x v="3"/>
    <x v="0"/>
    <x v="2"/>
    <x v="1588"/>
    <x v="1606"/>
    <x v="1604"/>
    <x v="1"/>
    <x v="1"/>
    <x v="1"/>
    <x v="1617"/>
    <x v="1"/>
  </r>
  <r>
    <x v="15"/>
    <x v="3"/>
    <x v="3"/>
    <x v="2"/>
    <x v="6"/>
    <x v="1589"/>
    <x v="1607"/>
    <x v="1605"/>
    <x v="1"/>
    <x v="1"/>
    <x v="1"/>
    <x v="1618"/>
    <x v="1"/>
  </r>
  <r>
    <x v="52"/>
    <x v="0"/>
    <x v="3"/>
    <x v="2"/>
    <x v="2"/>
    <x v="1590"/>
    <x v="1608"/>
    <x v="1606"/>
    <x v="1"/>
    <x v="1"/>
    <x v="1"/>
    <x v="1619"/>
    <x v="1"/>
  </r>
  <r>
    <x v="82"/>
    <x v="1"/>
    <x v="2"/>
    <x v="5"/>
    <x v="1"/>
    <x v="1591"/>
    <x v="1609"/>
    <x v="1607"/>
    <x v="1"/>
    <x v="1"/>
    <x v="1"/>
    <x v="1620"/>
    <x v="1"/>
  </r>
  <r>
    <x v="15"/>
    <x v="0"/>
    <x v="2"/>
    <x v="2"/>
    <x v="7"/>
    <x v="1592"/>
    <x v="1610"/>
    <x v="1608"/>
    <x v="1"/>
    <x v="1"/>
    <x v="1"/>
    <x v="1621"/>
    <x v="1"/>
  </r>
  <r>
    <x v="34"/>
    <x v="5"/>
    <x v="3"/>
    <x v="6"/>
    <x v="5"/>
    <x v="1593"/>
    <x v="1611"/>
    <x v="1609"/>
    <x v="1"/>
    <x v="1"/>
    <x v="1"/>
    <x v="1622"/>
    <x v="1"/>
  </r>
  <r>
    <x v="101"/>
    <x v="0"/>
    <x v="2"/>
    <x v="4"/>
    <x v="6"/>
    <x v="1594"/>
    <x v="1612"/>
    <x v="1610"/>
    <x v="1"/>
    <x v="1"/>
    <x v="1"/>
    <x v="1623"/>
    <x v="1"/>
  </r>
  <r>
    <x v="97"/>
    <x v="5"/>
    <x v="1"/>
    <x v="3"/>
    <x v="3"/>
    <x v="1595"/>
    <x v="1613"/>
    <x v="1611"/>
    <x v="1"/>
    <x v="1"/>
    <x v="1"/>
    <x v="1624"/>
    <x v="1"/>
  </r>
  <r>
    <x v="44"/>
    <x v="3"/>
    <x v="3"/>
    <x v="2"/>
    <x v="5"/>
    <x v="1596"/>
    <x v="1614"/>
    <x v="1612"/>
    <x v="1"/>
    <x v="1"/>
    <x v="1"/>
    <x v="1625"/>
    <x v="1"/>
  </r>
  <r>
    <x v="172"/>
    <x v="1"/>
    <x v="2"/>
    <x v="7"/>
    <x v="1"/>
    <x v="1597"/>
    <x v="1615"/>
    <x v="1613"/>
    <x v="1"/>
    <x v="1"/>
    <x v="1"/>
    <x v="1626"/>
    <x v="1"/>
  </r>
  <r>
    <x v="122"/>
    <x v="5"/>
    <x v="3"/>
    <x v="0"/>
    <x v="6"/>
    <x v="1598"/>
    <x v="1616"/>
    <x v="1614"/>
    <x v="1"/>
    <x v="1"/>
    <x v="1"/>
    <x v="1627"/>
    <x v="1"/>
  </r>
  <r>
    <x v="150"/>
    <x v="1"/>
    <x v="0"/>
    <x v="2"/>
    <x v="4"/>
    <x v="1599"/>
    <x v="1617"/>
    <x v="1615"/>
    <x v="1"/>
    <x v="1"/>
    <x v="1"/>
    <x v="1628"/>
    <x v="1"/>
  </r>
  <r>
    <x v="137"/>
    <x v="4"/>
    <x v="1"/>
    <x v="0"/>
    <x v="1"/>
    <x v="1600"/>
    <x v="1618"/>
    <x v="1616"/>
    <x v="1"/>
    <x v="1"/>
    <x v="1"/>
    <x v="1629"/>
    <x v="1"/>
  </r>
  <r>
    <x v="111"/>
    <x v="4"/>
    <x v="1"/>
    <x v="3"/>
    <x v="2"/>
    <x v="1601"/>
    <x v="1619"/>
    <x v="1617"/>
    <x v="1"/>
    <x v="1"/>
    <x v="1"/>
    <x v="1630"/>
    <x v="1"/>
  </r>
  <r>
    <x v="152"/>
    <x v="4"/>
    <x v="3"/>
    <x v="7"/>
    <x v="5"/>
    <x v="1602"/>
    <x v="1620"/>
    <x v="1618"/>
    <x v="1"/>
    <x v="1"/>
    <x v="1"/>
    <x v="1631"/>
    <x v="1"/>
  </r>
  <r>
    <x v="86"/>
    <x v="6"/>
    <x v="3"/>
    <x v="3"/>
    <x v="0"/>
    <x v="1603"/>
    <x v="1621"/>
    <x v="1619"/>
    <x v="1"/>
    <x v="1"/>
    <x v="1"/>
    <x v="1632"/>
    <x v="1"/>
  </r>
  <r>
    <x v="4"/>
    <x v="6"/>
    <x v="3"/>
    <x v="6"/>
    <x v="7"/>
    <x v="1604"/>
    <x v="1622"/>
    <x v="1620"/>
    <x v="1"/>
    <x v="1"/>
    <x v="1"/>
    <x v="1633"/>
    <x v="1"/>
  </r>
  <r>
    <x v="91"/>
    <x v="3"/>
    <x v="3"/>
    <x v="1"/>
    <x v="1"/>
    <x v="1605"/>
    <x v="1623"/>
    <x v="1621"/>
    <x v="1"/>
    <x v="1"/>
    <x v="1"/>
    <x v="1634"/>
    <x v="1"/>
  </r>
  <r>
    <x v="93"/>
    <x v="3"/>
    <x v="2"/>
    <x v="0"/>
    <x v="8"/>
    <x v="1606"/>
    <x v="1624"/>
    <x v="1622"/>
    <x v="1"/>
    <x v="1"/>
    <x v="1"/>
    <x v="1635"/>
    <x v="1"/>
  </r>
  <r>
    <x v="22"/>
    <x v="3"/>
    <x v="3"/>
    <x v="0"/>
    <x v="4"/>
    <x v="1607"/>
    <x v="1625"/>
    <x v="1623"/>
    <x v="1"/>
    <x v="1"/>
    <x v="1"/>
    <x v="1636"/>
    <x v="1"/>
  </r>
  <r>
    <x v="165"/>
    <x v="4"/>
    <x v="3"/>
    <x v="1"/>
    <x v="1"/>
    <x v="1608"/>
    <x v="1626"/>
    <x v="625"/>
    <x v="1"/>
    <x v="1"/>
    <x v="1"/>
    <x v="1637"/>
    <x v="1"/>
  </r>
  <r>
    <x v="160"/>
    <x v="2"/>
    <x v="3"/>
    <x v="6"/>
    <x v="3"/>
    <x v="1609"/>
    <x v="1627"/>
    <x v="1624"/>
    <x v="1"/>
    <x v="1"/>
    <x v="1"/>
    <x v="1638"/>
    <x v="1"/>
  </r>
  <r>
    <x v="24"/>
    <x v="5"/>
    <x v="0"/>
    <x v="0"/>
    <x v="9"/>
    <x v="1610"/>
    <x v="1628"/>
    <x v="1625"/>
    <x v="1"/>
    <x v="1"/>
    <x v="1"/>
    <x v="1639"/>
    <x v="1"/>
  </r>
  <r>
    <x v="80"/>
    <x v="2"/>
    <x v="1"/>
    <x v="0"/>
    <x v="0"/>
    <x v="1611"/>
    <x v="1629"/>
    <x v="1626"/>
    <x v="1"/>
    <x v="1"/>
    <x v="1"/>
    <x v="1640"/>
    <x v="1"/>
  </r>
  <r>
    <x v="59"/>
    <x v="2"/>
    <x v="0"/>
    <x v="0"/>
    <x v="2"/>
    <x v="1612"/>
    <x v="1630"/>
    <x v="1627"/>
    <x v="1"/>
    <x v="1"/>
    <x v="1"/>
    <x v="1641"/>
    <x v="1"/>
  </r>
  <r>
    <x v="57"/>
    <x v="1"/>
    <x v="0"/>
    <x v="3"/>
    <x v="2"/>
    <x v="1030"/>
    <x v="1631"/>
    <x v="1628"/>
    <x v="1"/>
    <x v="1"/>
    <x v="1"/>
    <x v="1642"/>
    <x v="1"/>
  </r>
  <r>
    <x v="146"/>
    <x v="2"/>
    <x v="2"/>
    <x v="4"/>
    <x v="3"/>
    <x v="1613"/>
    <x v="1632"/>
    <x v="1629"/>
    <x v="1"/>
    <x v="1"/>
    <x v="1"/>
    <x v="1643"/>
    <x v="1"/>
  </r>
  <r>
    <x v="101"/>
    <x v="3"/>
    <x v="3"/>
    <x v="5"/>
    <x v="6"/>
    <x v="1614"/>
    <x v="1633"/>
    <x v="1630"/>
    <x v="1"/>
    <x v="1"/>
    <x v="1"/>
    <x v="1644"/>
    <x v="1"/>
  </r>
  <r>
    <x v="158"/>
    <x v="5"/>
    <x v="1"/>
    <x v="1"/>
    <x v="9"/>
    <x v="1615"/>
    <x v="1634"/>
    <x v="1631"/>
    <x v="1"/>
    <x v="1"/>
    <x v="1"/>
    <x v="1645"/>
    <x v="1"/>
  </r>
  <r>
    <x v="174"/>
    <x v="6"/>
    <x v="3"/>
    <x v="6"/>
    <x v="9"/>
    <x v="1616"/>
    <x v="1635"/>
    <x v="1632"/>
    <x v="1"/>
    <x v="1"/>
    <x v="1"/>
    <x v="1646"/>
    <x v="1"/>
  </r>
  <r>
    <x v="153"/>
    <x v="0"/>
    <x v="2"/>
    <x v="1"/>
    <x v="4"/>
    <x v="89"/>
    <x v="1636"/>
    <x v="467"/>
    <x v="1"/>
    <x v="1"/>
    <x v="1"/>
    <x v="1647"/>
    <x v="1"/>
  </r>
  <r>
    <x v="54"/>
    <x v="5"/>
    <x v="3"/>
    <x v="1"/>
    <x v="3"/>
    <x v="1617"/>
    <x v="1637"/>
    <x v="1633"/>
    <x v="1"/>
    <x v="1"/>
    <x v="1"/>
    <x v="1648"/>
    <x v="1"/>
  </r>
  <r>
    <x v="141"/>
    <x v="4"/>
    <x v="2"/>
    <x v="5"/>
    <x v="2"/>
    <x v="1618"/>
    <x v="1638"/>
    <x v="1634"/>
    <x v="1"/>
    <x v="1"/>
    <x v="1"/>
    <x v="1649"/>
    <x v="1"/>
  </r>
  <r>
    <x v="152"/>
    <x v="4"/>
    <x v="3"/>
    <x v="5"/>
    <x v="9"/>
    <x v="1619"/>
    <x v="1639"/>
    <x v="1635"/>
    <x v="1"/>
    <x v="1"/>
    <x v="1"/>
    <x v="1650"/>
    <x v="1"/>
  </r>
  <r>
    <x v="156"/>
    <x v="3"/>
    <x v="0"/>
    <x v="0"/>
    <x v="1"/>
    <x v="1620"/>
    <x v="1640"/>
    <x v="1636"/>
    <x v="1"/>
    <x v="1"/>
    <x v="1"/>
    <x v="1651"/>
    <x v="1"/>
  </r>
  <r>
    <x v="86"/>
    <x v="6"/>
    <x v="1"/>
    <x v="5"/>
    <x v="9"/>
    <x v="1621"/>
    <x v="1641"/>
    <x v="1637"/>
    <x v="1"/>
    <x v="1"/>
    <x v="1"/>
    <x v="1652"/>
    <x v="1"/>
  </r>
  <r>
    <x v="155"/>
    <x v="5"/>
    <x v="1"/>
    <x v="4"/>
    <x v="1"/>
    <x v="1622"/>
    <x v="1642"/>
    <x v="1638"/>
    <x v="1"/>
    <x v="1"/>
    <x v="1"/>
    <x v="1653"/>
    <x v="1"/>
  </r>
  <r>
    <x v="119"/>
    <x v="0"/>
    <x v="1"/>
    <x v="7"/>
    <x v="4"/>
    <x v="1623"/>
    <x v="1643"/>
    <x v="1639"/>
    <x v="1"/>
    <x v="1"/>
    <x v="1"/>
    <x v="1654"/>
    <x v="1"/>
  </r>
  <r>
    <x v="152"/>
    <x v="4"/>
    <x v="2"/>
    <x v="6"/>
    <x v="5"/>
    <x v="1624"/>
    <x v="1644"/>
    <x v="1640"/>
    <x v="1"/>
    <x v="1"/>
    <x v="1"/>
    <x v="1655"/>
    <x v="1"/>
  </r>
  <r>
    <x v="158"/>
    <x v="2"/>
    <x v="1"/>
    <x v="5"/>
    <x v="2"/>
    <x v="1625"/>
    <x v="1645"/>
    <x v="1641"/>
    <x v="1"/>
    <x v="1"/>
    <x v="1"/>
    <x v="1656"/>
    <x v="1"/>
  </r>
  <r>
    <x v="135"/>
    <x v="1"/>
    <x v="1"/>
    <x v="5"/>
    <x v="0"/>
    <x v="1626"/>
    <x v="1646"/>
    <x v="1642"/>
    <x v="1"/>
    <x v="1"/>
    <x v="1"/>
    <x v="1657"/>
    <x v="1"/>
  </r>
  <r>
    <x v="96"/>
    <x v="3"/>
    <x v="3"/>
    <x v="2"/>
    <x v="6"/>
    <x v="1627"/>
    <x v="1647"/>
    <x v="1643"/>
    <x v="1"/>
    <x v="1"/>
    <x v="1"/>
    <x v="1658"/>
    <x v="1"/>
  </r>
  <r>
    <x v="104"/>
    <x v="5"/>
    <x v="0"/>
    <x v="6"/>
    <x v="0"/>
    <x v="1628"/>
    <x v="1648"/>
    <x v="1644"/>
    <x v="1"/>
    <x v="1"/>
    <x v="1"/>
    <x v="1659"/>
    <x v="1"/>
  </r>
  <r>
    <x v="51"/>
    <x v="3"/>
    <x v="2"/>
    <x v="2"/>
    <x v="4"/>
    <x v="1629"/>
    <x v="1649"/>
    <x v="1645"/>
    <x v="1"/>
    <x v="1"/>
    <x v="1"/>
    <x v="1660"/>
    <x v="1"/>
  </r>
  <r>
    <x v="150"/>
    <x v="4"/>
    <x v="0"/>
    <x v="7"/>
    <x v="6"/>
    <x v="1630"/>
    <x v="1650"/>
    <x v="1646"/>
    <x v="1"/>
    <x v="1"/>
    <x v="1"/>
    <x v="1661"/>
    <x v="1"/>
  </r>
  <r>
    <x v="65"/>
    <x v="6"/>
    <x v="1"/>
    <x v="7"/>
    <x v="9"/>
    <x v="1631"/>
    <x v="1651"/>
    <x v="1647"/>
    <x v="1"/>
    <x v="1"/>
    <x v="1"/>
    <x v="1662"/>
    <x v="1"/>
  </r>
  <r>
    <x v="133"/>
    <x v="5"/>
    <x v="1"/>
    <x v="0"/>
    <x v="5"/>
    <x v="1632"/>
    <x v="1652"/>
    <x v="1648"/>
    <x v="1"/>
    <x v="1"/>
    <x v="1"/>
    <x v="1663"/>
    <x v="1"/>
  </r>
  <r>
    <x v="112"/>
    <x v="3"/>
    <x v="3"/>
    <x v="1"/>
    <x v="9"/>
    <x v="1633"/>
    <x v="1653"/>
    <x v="1649"/>
    <x v="1"/>
    <x v="1"/>
    <x v="1"/>
    <x v="1664"/>
    <x v="1"/>
  </r>
  <r>
    <x v="29"/>
    <x v="3"/>
    <x v="3"/>
    <x v="2"/>
    <x v="9"/>
    <x v="1634"/>
    <x v="1654"/>
    <x v="1650"/>
    <x v="1"/>
    <x v="1"/>
    <x v="1"/>
    <x v="1665"/>
    <x v="1"/>
  </r>
  <r>
    <x v="131"/>
    <x v="5"/>
    <x v="3"/>
    <x v="5"/>
    <x v="3"/>
    <x v="1635"/>
    <x v="1655"/>
    <x v="1651"/>
    <x v="1"/>
    <x v="1"/>
    <x v="1"/>
    <x v="1666"/>
    <x v="1"/>
  </r>
  <r>
    <x v="24"/>
    <x v="6"/>
    <x v="0"/>
    <x v="0"/>
    <x v="8"/>
    <x v="1636"/>
    <x v="1656"/>
    <x v="1652"/>
    <x v="1"/>
    <x v="1"/>
    <x v="1"/>
    <x v="1667"/>
    <x v="1"/>
  </r>
  <r>
    <x v="75"/>
    <x v="4"/>
    <x v="2"/>
    <x v="4"/>
    <x v="2"/>
    <x v="1637"/>
    <x v="1657"/>
    <x v="1653"/>
    <x v="1"/>
    <x v="1"/>
    <x v="1"/>
    <x v="1668"/>
    <x v="1"/>
  </r>
  <r>
    <x v="123"/>
    <x v="5"/>
    <x v="0"/>
    <x v="5"/>
    <x v="7"/>
    <x v="1638"/>
    <x v="1658"/>
    <x v="1654"/>
    <x v="1"/>
    <x v="1"/>
    <x v="1"/>
    <x v="1669"/>
    <x v="1"/>
  </r>
  <r>
    <x v="154"/>
    <x v="0"/>
    <x v="3"/>
    <x v="3"/>
    <x v="3"/>
    <x v="1639"/>
    <x v="1659"/>
    <x v="1655"/>
    <x v="1"/>
    <x v="1"/>
    <x v="1"/>
    <x v="1670"/>
    <x v="1"/>
  </r>
  <r>
    <x v="47"/>
    <x v="3"/>
    <x v="1"/>
    <x v="0"/>
    <x v="6"/>
    <x v="1640"/>
    <x v="1660"/>
    <x v="1656"/>
    <x v="1"/>
    <x v="1"/>
    <x v="1"/>
    <x v="1671"/>
    <x v="1"/>
  </r>
  <r>
    <x v="161"/>
    <x v="4"/>
    <x v="2"/>
    <x v="4"/>
    <x v="3"/>
    <x v="1641"/>
    <x v="1661"/>
    <x v="1657"/>
    <x v="1"/>
    <x v="1"/>
    <x v="1"/>
    <x v="1672"/>
    <x v="1"/>
  </r>
  <r>
    <x v="134"/>
    <x v="2"/>
    <x v="3"/>
    <x v="3"/>
    <x v="9"/>
    <x v="1642"/>
    <x v="1662"/>
    <x v="1658"/>
    <x v="1"/>
    <x v="1"/>
    <x v="1"/>
    <x v="1673"/>
    <x v="1"/>
  </r>
  <r>
    <x v="1"/>
    <x v="1"/>
    <x v="0"/>
    <x v="3"/>
    <x v="4"/>
    <x v="1643"/>
    <x v="1663"/>
    <x v="1659"/>
    <x v="1"/>
    <x v="1"/>
    <x v="1"/>
    <x v="1674"/>
    <x v="1"/>
  </r>
  <r>
    <x v="130"/>
    <x v="6"/>
    <x v="1"/>
    <x v="7"/>
    <x v="0"/>
    <x v="1644"/>
    <x v="1664"/>
    <x v="1660"/>
    <x v="1"/>
    <x v="1"/>
    <x v="1"/>
    <x v="1675"/>
    <x v="1"/>
  </r>
  <r>
    <x v="68"/>
    <x v="5"/>
    <x v="2"/>
    <x v="6"/>
    <x v="5"/>
    <x v="1645"/>
    <x v="1665"/>
    <x v="1661"/>
    <x v="1"/>
    <x v="1"/>
    <x v="1"/>
    <x v="1676"/>
    <x v="1"/>
  </r>
  <r>
    <x v="27"/>
    <x v="2"/>
    <x v="2"/>
    <x v="7"/>
    <x v="1"/>
    <x v="1646"/>
    <x v="1666"/>
    <x v="1662"/>
    <x v="1"/>
    <x v="1"/>
    <x v="1"/>
    <x v="1677"/>
    <x v="1"/>
  </r>
  <r>
    <x v="17"/>
    <x v="0"/>
    <x v="2"/>
    <x v="7"/>
    <x v="4"/>
    <x v="1647"/>
    <x v="976"/>
    <x v="1663"/>
    <x v="1"/>
    <x v="1"/>
    <x v="1"/>
    <x v="1678"/>
    <x v="1"/>
  </r>
  <r>
    <x v="121"/>
    <x v="5"/>
    <x v="3"/>
    <x v="1"/>
    <x v="0"/>
    <x v="1648"/>
    <x v="1667"/>
    <x v="1664"/>
    <x v="1"/>
    <x v="1"/>
    <x v="1"/>
    <x v="1679"/>
    <x v="1"/>
  </r>
  <r>
    <x v="18"/>
    <x v="0"/>
    <x v="3"/>
    <x v="5"/>
    <x v="8"/>
    <x v="1649"/>
    <x v="1668"/>
    <x v="1665"/>
    <x v="1"/>
    <x v="1"/>
    <x v="1"/>
    <x v="1680"/>
    <x v="1"/>
  </r>
  <r>
    <x v="180"/>
    <x v="5"/>
    <x v="1"/>
    <x v="5"/>
    <x v="1"/>
    <x v="1650"/>
    <x v="1669"/>
    <x v="1666"/>
    <x v="1"/>
    <x v="1"/>
    <x v="1"/>
    <x v="1681"/>
    <x v="1"/>
  </r>
  <r>
    <x v="16"/>
    <x v="4"/>
    <x v="2"/>
    <x v="0"/>
    <x v="6"/>
    <x v="1651"/>
    <x v="1670"/>
    <x v="1667"/>
    <x v="1"/>
    <x v="1"/>
    <x v="1"/>
    <x v="1682"/>
    <x v="1"/>
  </r>
  <r>
    <x v="38"/>
    <x v="5"/>
    <x v="2"/>
    <x v="7"/>
    <x v="7"/>
    <x v="1652"/>
    <x v="1671"/>
    <x v="1668"/>
    <x v="1"/>
    <x v="1"/>
    <x v="1"/>
    <x v="1683"/>
    <x v="1"/>
  </r>
  <r>
    <x v="61"/>
    <x v="2"/>
    <x v="2"/>
    <x v="5"/>
    <x v="8"/>
    <x v="1653"/>
    <x v="1672"/>
    <x v="1669"/>
    <x v="1"/>
    <x v="1"/>
    <x v="1"/>
    <x v="1684"/>
    <x v="1"/>
  </r>
  <r>
    <x v="132"/>
    <x v="5"/>
    <x v="0"/>
    <x v="5"/>
    <x v="4"/>
    <x v="1654"/>
    <x v="1673"/>
    <x v="1670"/>
    <x v="1"/>
    <x v="1"/>
    <x v="1"/>
    <x v="1685"/>
    <x v="1"/>
  </r>
  <r>
    <x v="68"/>
    <x v="3"/>
    <x v="1"/>
    <x v="3"/>
    <x v="6"/>
    <x v="1655"/>
    <x v="1674"/>
    <x v="1671"/>
    <x v="1"/>
    <x v="1"/>
    <x v="1"/>
    <x v="1686"/>
    <x v="1"/>
  </r>
  <r>
    <x v="54"/>
    <x v="1"/>
    <x v="1"/>
    <x v="5"/>
    <x v="6"/>
    <x v="1656"/>
    <x v="1675"/>
    <x v="1672"/>
    <x v="1"/>
    <x v="1"/>
    <x v="1"/>
    <x v="1687"/>
    <x v="1"/>
  </r>
  <r>
    <x v="152"/>
    <x v="1"/>
    <x v="1"/>
    <x v="2"/>
    <x v="5"/>
    <x v="1657"/>
    <x v="1676"/>
    <x v="1673"/>
    <x v="1"/>
    <x v="1"/>
    <x v="1"/>
    <x v="1688"/>
    <x v="1"/>
  </r>
  <r>
    <x v="151"/>
    <x v="3"/>
    <x v="0"/>
    <x v="0"/>
    <x v="1"/>
    <x v="1658"/>
    <x v="1677"/>
    <x v="1674"/>
    <x v="1"/>
    <x v="1"/>
    <x v="1"/>
    <x v="1689"/>
    <x v="1"/>
  </r>
  <r>
    <x v="125"/>
    <x v="0"/>
    <x v="2"/>
    <x v="3"/>
    <x v="1"/>
    <x v="1659"/>
    <x v="1678"/>
    <x v="1675"/>
    <x v="1"/>
    <x v="1"/>
    <x v="1"/>
    <x v="1690"/>
    <x v="1"/>
  </r>
  <r>
    <x v="2"/>
    <x v="2"/>
    <x v="3"/>
    <x v="2"/>
    <x v="3"/>
    <x v="1660"/>
    <x v="1679"/>
    <x v="1676"/>
    <x v="1"/>
    <x v="1"/>
    <x v="1"/>
    <x v="1691"/>
    <x v="1"/>
  </r>
  <r>
    <x v="17"/>
    <x v="4"/>
    <x v="3"/>
    <x v="7"/>
    <x v="0"/>
    <x v="1661"/>
    <x v="1680"/>
    <x v="1677"/>
    <x v="1"/>
    <x v="1"/>
    <x v="1"/>
    <x v="1692"/>
    <x v="1"/>
  </r>
  <r>
    <x v="36"/>
    <x v="4"/>
    <x v="2"/>
    <x v="3"/>
    <x v="4"/>
    <x v="1662"/>
    <x v="1681"/>
    <x v="1678"/>
    <x v="1"/>
    <x v="1"/>
    <x v="1"/>
    <x v="1693"/>
    <x v="1"/>
  </r>
  <r>
    <x v="176"/>
    <x v="1"/>
    <x v="2"/>
    <x v="7"/>
    <x v="3"/>
    <x v="1663"/>
    <x v="1682"/>
    <x v="1679"/>
    <x v="1"/>
    <x v="1"/>
    <x v="1"/>
    <x v="1694"/>
    <x v="1"/>
  </r>
  <r>
    <x v="110"/>
    <x v="5"/>
    <x v="2"/>
    <x v="5"/>
    <x v="3"/>
    <x v="1664"/>
    <x v="1683"/>
    <x v="1680"/>
    <x v="1"/>
    <x v="1"/>
    <x v="1"/>
    <x v="1695"/>
    <x v="1"/>
  </r>
  <r>
    <x v="82"/>
    <x v="0"/>
    <x v="1"/>
    <x v="1"/>
    <x v="0"/>
    <x v="1665"/>
    <x v="1684"/>
    <x v="1681"/>
    <x v="1"/>
    <x v="1"/>
    <x v="1"/>
    <x v="1696"/>
    <x v="1"/>
  </r>
  <r>
    <x v="99"/>
    <x v="3"/>
    <x v="1"/>
    <x v="2"/>
    <x v="9"/>
    <x v="1666"/>
    <x v="1685"/>
    <x v="1682"/>
    <x v="1"/>
    <x v="1"/>
    <x v="1"/>
    <x v="1697"/>
    <x v="1"/>
  </r>
  <r>
    <x v="113"/>
    <x v="1"/>
    <x v="3"/>
    <x v="4"/>
    <x v="6"/>
    <x v="1667"/>
    <x v="1686"/>
    <x v="1683"/>
    <x v="1"/>
    <x v="1"/>
    <x v="1"/>
    <x v="1698"/>
    <x v="1"/>
  </r>
  <r>
    <x v="95"/>
    <x v="1"/>
    <x v="1"/>
    <x v="4"/>
    <x v="4"/>
    <x v="1668"/>
    <x v="1687"/>
    <x v="1684"/>
    <x v="1"/>
    <x v="1"/>
    <x v="1"/>
    <x v="1699"/>
    <x v="1"/>
  </r>
  <r>
    <x v="21"/>
    <x v="6"/>
    <x v="1"/>
    <x v="3"/>
    <x v="5"/>
    <x v="1669"/>
    <x v="1688"/>
    <x v="1685"/>
    <x v="1"/>
    <x v="1"/>
    <x v="1"/>
    <x v="1700"/>
    <x v="1"/>
  </r>
  <r>
    <x v="97"/>
    <x v="2"/>
    <x v="0"/>
    <x v="4"/>
    <x v="1"/>
    <x v="1670"/>
    <x v="1689"/>
    <x v="1686"/>
    <x v="1"/>
    <x v="1"/>
    <x v="1"/>
    <x v="1701"/>
    <x v="1"/>
  </r>
  <r>
    <x v="32"/>
    <x v="6"/>
    <x v="3"/>
    <x v="6"/>
    <x v="8"/>
    <x v="1671"/>
    <x v="1690"/>
    <x v="1687"/>
    <x v="1"/>
    <x v="1"/>
    <x v="1"/>
    <x v="1702"/>
    <x v="1"/>
  </r>
  <r>
    <x v="78"/>
    <x v="6"/>
    <x v="3"/>
    <x v="6"/>
    <x v="0"/>
    <x v="1672"/>
    <x v="1691"/>
    <x v="1688"/>
    <x v="1"/>
    <x v="1"/>
    <x v="1"/>
    <x v="1703"/>
    <x v="1"/>
  </r>
  <r>
    <x v="119"/>
    <x v="2"/>
    <x v="0"/>
    <x v="5"/>
    <x v="0"/>
    <x v="1673"/>
    <x v="1692"/>
    <x v="1689"/>
    <x v="1"/>
    <x v="1"/>
    <x v="1"/>
    <x v="1704"/>
    <x v="1"/>
  </r>
  <r>
    <x v="178"/>
    <x v="1"/>
    <x v="1"/>
    <x v="0"/>
    <x v="2"/>
    <x v="1674"/>
    <x v="1693"/>
    <x v="1690"/>
    <x v="1"/>
    <x v="1"/>
    <x v="1"/>
    <x v="1705"/>
    <x v="1"/>
  </r>
  <r>
    <x v="24"/>
    <x v="5"/>
    <x v="3"/>
    <x v="5"/>
    <x v="0"/>
    <x v="1675"/>
    <x v="1694"/>
    <x v="1691"/>
    <x v="1"/>
    <x v="1"/>
    <x v="1"/>
    <x v="1706"/>
    <x v="1"/>
  </r>
  <r>
    <x v="45"/>
    <x v="0"/>
    <x v="0"/>
    <x v="1"/>
    <x v="3"/>
    <x v="1676"/>
    <x v="1695"/>
    <x v="1692"/>
    <x v="1"/>
    <x v="1"/>
    <x v="1"/>
    <x v="1707"/>
    <x v="1"/>
  </r>
  <r>
    <x v="18"/>
    <x v="1"/>
    <x v="3"/>
    <x v="6"/>
    <x v="2"/>
    <x v="1677"/>
    <x v="1696"/>
    <x v="1693"/>
    <x v="1"/>
    <x v="1"/>
    <x v="1"/>
    <x v="1708"/>
    <x v="1"/>
  </r>
  <r>
    <x v="51"/>
    <x v="5"/>
    <x v="2"/>
    <x v="1"/>
    <x v="3"/>
    <x v="1678"/>
    <x v="1697"/>
    <x v="1694"/>
    <x v="1"/>
    <x v="1"/>
    <x v="1"/>
    <x v="1709"/>
    <x v="1"/>
  </r>
  <r>
    <x v="72"/>
    <x v="6"/>
    <x v="0"/>
    <x v="6"/>
    <x v="7"/>
    <x v="1679"/>
    <x v="1698"/>
    <x v="1695"/>
    <x v="1"/>
    <x v="1"/>
    <x v="1"/>
    <x v="1710"/>
    <x v="1"/>
  </r>
  <r>
    <x v="166"/>
    <x v="2"/>
    <x v="3"/>
    <x v="6"/>
    <x v="8"/>
    <x v="1680"/>
    <x v="1699"/>
    <x v="1696"/>
    <x v="1"/>
    <x v="1"/>
    <x v="1"/>
    <x v="1711"/>
    <x v="1"/>
  </r>
  <r>
    <x v="67"/>
    <x v="4"/>
    <x v="0"/>
    <x v="6"/>
    <x v="4"/>
    <x v="1681"/>
    <x v="1700"/>
    <x v="1697"/>
    <x v="1"/>
    <x v="1"/>
    <x v="1"/>
    <x v="1712"/>
    <x v="1"/>
  </r>
  <r>
    <x v="84"/>
    <x v="0"/>
    <x v="1"/>
    <x v="3"/>
    <x v="6"/>
    <x v="1682"/>
    <x v="1701"/>
    <x v="1698"/>
    <x v="1"/>
    <x v="1"/>
    <x v="1"/>
    <x v="1713"/>
    <x v="1"/>
  </r>
  <r>
    <x v="76"/>
    <x v="6"/>
    <x v="3"/>
    <x v="7"/>
    <x v="3"/>
    <x v="1683"/>
    <x v="1702"/>
    <x v="1699"/>
    <x v="1"/>
    <x v="1"/>
    <x v="1"/>
    <x v="1714"/>
    <x v="1"/>
  </r>
  <r>
    <x v="49"/>
    <x v="0"/>
    <x v="3"/>
    <x v="5"/>
    <x v="1"/>
    <x v="1684"/>
    <x v="1703"/>
    <x v="1700"/>
    <x v="1"/>
    <x v="1"/>
    <x v="1"/>
    <x v="1715"/>
    <x v="1"/>
  </r>
  <r>
    <x v="66"/>
    <x v="1"/>
    <x v="3"/>
    <x v="1"/>
    <x v="1"/>
    <x v="1685"/>
    <x v="1704"/>
    <x v="1701"/>
    <x v="1"/>
    <x v="1"/>
    <x v="1"/>
    <x v="1716"/>
    <x v="1"/>
  </r>
  <r>
    <x v="69"/>
    <x v="6"/>
    <x v="0"/>
    <x v="1"/>
    <x v="1"/>
    <x v="1686"/>
    <x v="1705"/>
    <x v="1702"/>
    <x v="1"/>
    <x v="1"/>
    <x v="1"/>
    <x v="1717"/>
    <x v="1"/>
  </r>
  <r>
    <x v="70"/>
    <x v="3"/>
    <x v="3"/>
    <x v="1"/>
    <x v="6"/>
    <x v="1687"/>
    <x v="1706"/>
    <x v="1703"/>
    <x v="1"/>
    <x v="1"/>
    <x v="1"/>
    <x v="1718"/>
    <x v="1"/>
  </r>
  <r>
    <x v="42"/>
    <x v="1"/>
    <x v="2"/>
    <x v="6"/>
    <x v="5"/>
    <x v="1688"/>
    <x v="1707"/>
    <x v="1704"/>
    <x v="1"/>
    <x v="1"/>
    <x v="1"/>
    <x v="1719"/>
    <x v="1"/>
  </r>
  <r>
    <x v="125"/>
    <x v="0"/>
    <x v="0"/>
    <x v="0"/>
    <x v="1"/>
    <x v="1689"/>
    <x v="1708"/>
    <x v="1705"/>
    <x v="1"/>
    <x v="1"/>
    <x v="1"/>
    <x v="1720"/>
    <x v="1"/>
  </r>
  <r>
    <x v="100"/>
    <x v="0"/>
    <x v="3"/>
    <x v="3"/>
    <x v="6"/>
    <x v="1690"/>
    <x v="1709"/>
    <x v="1706"/>
    <x v="1"/>
    <x v="1"/>
    <x v="1"/>
    <x v="1721"/>
    <x v="1"/>
  </r>
  <r>
    <x v="52"/>
    <x v="6"/>
    <x v="3"/>
    <x v="0"/>
    <x v="8"/>
    <x v="1691"/>
    <x v="1710"/>
    <x v="1707"/>
    <x v="1"/>
    <x v="1"/>
    <x v="1"/>
    <x v="1722"/>
    <x v="1"/>
  </r>
  <r>
    <x v="153"/>
    <x v="6"/>
    <x v="1"/>
    <x v="0"/>
    <x v="0"/>
    <x v="1692"/>
    <x v="1711"/>
    <x v="1708"/>
    <x v="1"/>
    <x v="1"/>
    <x v="1"/>
    <x v="1723"/>
    <x v="1"/>
  </r>
  <r>
    <x v="134"/>
    <x v="6"/>
    <x v="3"/>
    <x v="5"/>
    <x v="3"/>
    <x v="1693"/>
    <x v="1712"/>
    <x v="1709"/>
    <x v="1"/>
    <x v="1"/>
    <x v="1"/>
    <x v="1724"/>
    <x v="1"/>
  </r>
  <r>
    <x v="10"/>
    <x v="1"/>
    <x v="0"/>
    <x v="5"/>
    <x v="7"/>
    <x v="1694"/>
    <x v="1713"/>
    <x v="1710"/>
    <x v="1"/>
    <x v="1"/>
    <x v="1"/>
    <x v="1725"/>
    <x v="1"/>
  </r>
  <r>
    <x v="136"/>
    <x v="1"/>
    <x v="2"/>
    <x v="3"/>
    <x v="0"/>
    <x v="1695"/>
    <x v="1714"/>
    <x v="1711"/>
    <x v="1"/>
    <x v="1"/>
    <x v="1"/>
    <x v="1726"/>
    <x v="1"/>
  </r>
  <r>
    <x v="57"/>
    <x v="2"/>
    <x v="2"/>
    <x v="1"/>
    <x v="8"/>
    <x v="1696"/>
    <x v="1715"/>
    <x v="1712"/>
    <x v="1"/>
    <x v="1"/>
    <x v="1"/>
    <x v="1727"/>
    <x v="1"/>
  </r>
  <r>
    <x v="151"/>
    <x v="1"/>
    <x v="3"/>
    <x v="4"/>
    <x v="4"/>
    <x v="1697"/>
    <x v="1716"/>
    <x v="1713"/>
    <x v="1"/>
    <x v="1"/>
    <x v="1"/>
    <x v="1728"/>
    <x v="1"/>
  </r>
  <r>
    <x v="44"/>
    <x v="4"/>
    <x v="3"/>
    <x v="2"/>
    <x v="2"/>
    <x v="1698"/>
    <x v="1717"/>
    <x v="1714"/>
    <x v="1"/>
    <x v="1"/>
    <x v="1"/>
    <x v="1729"/>
    <x v="1"/>
  </r>
  <r>
    <x v="24"/>
    <x v="3"/>
    <x v="0"/>
    <x v="5"/>
    <x v="5"/>
    <x v="1699"/>
    <x v="1718"/>
    <x v="1715"/>
    <x v="1"/>
    <x v="1"/>
    <x v="1"/>
    <x v="1730"/>
    <x v="1"/>
  </r>
  <r>
    <x v="101"/>
    <x v="5"/>
    <x v="3"/>
    <x v="5"/>
    <x v="2"/>
    <x v="1700"/>
    <x v="1719"/>
    <x v="1716"/>
    <x v="1"/>
    <x v="1"/>
    <x v="1"/>
    <x v="1731"/>
    <x v="1"/>
  </r>
  <r>
    <x v="21"/>
    <x v="4"/>
    <x v="0"/>
    <x v="7"/>
    <x v="0"/>
    <x v="1701"/>
    <x v="1720"/>
    <x v="1416"/>
    <x v="1"/>
    <x v="1"/>
    <x v="1"/>
    <x v="1732"/>
    <x v="1"/>
  </r>
  <r>
    <x v="128"/>
    <x v="1"/>
    <x v="0"/>
    <x v="3"/>
    <x v="8"/>
    <x v="1702"/>
    <x v="1721"/>
    <x v="1717"/>
    <x v="1"/>
    <x v="1"/>
    <x v="1"/>
    <x v="1733"/>
    <x v="1"/>
  </r>
  <r>
    <x v="152"/>
    <x v="4"/>
    <x v="3"/>
    <x v="4"/>
    <x v="0"/>
    <x v="1703"/>
    <x v="1722"/>
    <x v="1718"/>
    <x v="1"/>
    <x v="1"/>
    <x v="1"/>
    <x v="1734"/>
    <x v="1"/>
  </r>
  <r>
    <x v="164"/>
    <x v="6"/>
    <x v="2"/>
    <x v="1"/>
    <x v="9"/>
    <x v="1704"/>
    <x v="1723"/>
    <x v="1719"/>
    <x v="1"/>
    <x v="1"/>
    <x v="1"/>
    <x v="1735"/>
    <x v="1"/>
  </r>
  <r>
    <x v="21"/>
    <x v="6"/>
    <x v="2"/>
    <x v="1"/>
    <x v="9"/>
    <x v="1705"/>
    <x v="1724"/>
    <x v="1720"/>
    <x v="1"/>
    <x v="1"/>
    <x v="1"/>
    <x v="1736"/>
    <x v="1"/>
  </r>
  <r>
    <x v="134"/>
    <x v="1"/>
    <x v="0"/>
    <x v="5"/>
    <x v="5"/>
    <x v="1706"/>
    <x v="1725"/>
    <x v="1721"/>
    <x v="1"/>
    <x v="1"/>
    <x v="1"/>
    <x v="1737"/>
    <x v="1"/>
  </r>
  <r>
    <x v="70"/>
    <x v="1"/>
    <x v="3"/>
    <x v="3"/>
    <x v="0"/>
    <x v="1707"/>
    <x v="1726"/>
    <x v="1722"/>
    <x v="1"/>
    <x v="1"/>
    <x v="1"/>
    <x v="1738"/>
    <x v="1"/>
  </r>
  <r>
    <x v="22"/>
    <x v="6"/>
    <x v="2"/>
    <x v="6"/>
    <x v="0"/>
    <x v="1708"/>
    <x v="1727"/>
    <x v="1723"/>
    <x v="1"/>
    <x v="1"/>
    <x v="1"/>
    <x v="1739"/>
    <x v="1"/>
  </r>
  <r>
    <x v="12"/>
    <x v="1"/>
    <x v="0"/>
    <x v="0"/>
    <x v="9"/>
    <x v="1709"/>
    <x v="1728"/>
    <x v="1724"/>
    <x v="1"/>
    <x v="1"/>
    <x v="1"/>
    <x v="1740"/>
    <x v="1"/>
  </r>
  <r>
    <x v="13"/>
    <x v="3"/>
    <x v="0"/>
    <x v="6"/>
    <x v="0"/>
    <x v="1710"/>
    <x v="1729"/>
    <x v="1725"/>
    <x v="1"/>
    <x v="1"/>
    <x v="1"/>
    <x v="1741"/>
    <x v="1"/>
  </r>
  <r>
    <x v="153"/>
    <x v="5"/>
    <x v="0"/>
    <x v="3"/>
    <x v="8"/>
    <x v="1711"/>
    <x v="1730"/>
    <x v="1726"/>
    <x v="1"/>
    <x v="1"/>
    <x v="1"/>
    <x v="1742"/>
    <x v="1"/>
  </r>
  <r>
    <x v="36"/>
    <x v="3"/>
    <x v="3"/>
    <x v="6"/>
    <x v="3"/>
    <x v="1712"/>
    <x v="1731"/>
    <x v="1727"/>
    <x v="1"/>
    <x v="1"/>
    <x v="1"/>
    <x v="1743"/>
    <x v="1"/>
  </r>
  <r>
    <x v="89"/>
    <x v="0"/>
    <x v="0"/>
    <x v="0"/>
    <x v="5"/>
    <x v="1713"/>
    <x v="1732"/>
    <x v="1728"/>
    <x v="1"/>
    <x v="1"/>
    <x v="1"/>
    <x v="1744"/>
    <x v="1"/>
  </r>
  <r>
    <x v="70"/>
    <x v="3"/>
    <x v="3"/>
    <x v="7"/>
    <x v="8"/>
    <x v="1714"/>
    <x v="1733"/>
    <x v="1729"/>
    <x v="1"/>
    <x v="1"/>
    <x v="1"/>
    <x v="1745"/>
    <x v="1"/>
  </r>
  <r>
    <x v="148"/>
    <x v="4"/>
    <x v="0"/>
    <x v="4"/>
    <x v="5"/>
    <x v="1715"/>
    <x v="1734"/>
    <x v="1730"/>
    <x v="1"/>
    <x v="1"/>
    <x v="1"/>
    <x v="1746"/>
    <x v="1"/>
  </r>
  <r>
    <x v="42"/>
    <x v="3"/>
    <x v="1"/>
    <x v="0"/>
    <x v="5"/>
    <x v="1716"/>
    <x v="1735"/>
    <x v="1731"/>
    <x v="1"/>
    <x v="1"/>
    <x v="1"/>
    <x v="1747"/>
    <x v="1"/>
  </r>
  <r>
    <x v="70"/>
    <x v="0"/>
    <x v="1"/>
    <x v="1"/>
    <x v="1"/>
    <x v="1717"/>
    <x v="1736"/>
    <x v="1732"/>
    <x v="1"/>
    <x v="1"/>
    <x v="1"/>
    <x v="1748"/>
    <x v="1"/>
  </r>
  <r>
    <x v="60"/>
    <x v="2"/>
    <x v="3"/>
    <x v="2"/>
    <x v="7"/>
    <x v="1718"/>
    <x v="1737"/>
    <x v="1733"/>
    <x v="1"/>
    <x v="1"/>
    <x v="1"/>
    <x v="1749"/>
    <x v="1"/>
  </r>
  <r>
    <x v="144"/>
    <x v="4"/>
    <x v="2"/>
    <x v="6"/>
    <x v="3"/>
    <x v="1719"/>
    <x v="1738"/>
    <x v="1734"/>
    <x v="1"/>
    <x v="1"/>
    <x v="1"/>
    <x v="1750"/>
    <x v="1"/>
  </r>
  <r>
    <x v="161"/>
    <x v="4"/>
    <x v="2"/>
    <x v="7"/>
    <x v="6"/>
    <x v="1720"/>
    <x v="1739"/>
    <x v="1735"/>
    <x v="1"/>
    <x v="1"/>
    <x v="1"/>
    <x v="1751"/>
    <x v="1"/>
  </r>
  <r>
    <x v="41"/>
    <x v="4"/>
    <x v="3"/>
    <x v="3"/>
    <x v="1"/>
    <x v="1721"/>
    <x v="1740"/>
    <x v="1736"/>
    <x v="1"/>
    <x v="1"/>
    <x v="1"/>
    <x v="1752"/>
    <x v="1"/>
  </r>
  <r>
    <x v="34"/>
    <x v="2"/>
    <x v="3"/>
    <x v="2"/>
    <x v="9"/>
    <x v="1722"/>
    <x v="1741"/>
    <x v="1737"/>
    <x v="1"/>
    <x v="1"/>
    <x v="1"/>
    <x v="1753"/>
    <x v="1"/>
  </r>
  <r>
    <x v="6"/>
    <x v="4"/>
    <x v="3"/>
    <x v="4"/>
    <x v="7"/>
    <x v="1723"/>
    <x v="1742"/>
    <x v="1738"/>
    <x v="1"/>
    <x v="1"/>
    <x v="1"/>
    <x v="1754"/>
    <x v="1"/>
  </r>
  <r>
    <x v="156"/>
    <x v="2"/>
    <x v="3"/>
    <x v="5"/>
    <x v="7"/>
    <x v="1724"/>
    <x v="1743"/>
    <x v="1739"/>
    <x v="1"/>
    <x v="1"/>
    <x v="1"/>
    <x v="1755"/>
    <x v="1"/>
  </r>
  <r>
    <x v="65"/>
    <x v="5"/>
    <x v="1"/>
    <x v="3"/>
    <x v="1"/>
    <x v="1725"/>
    <x v="1744"/>
    <x v="1740"/>
    <x v="1"/>
    <x v="1"/>
    <x v="1"/>
    <x v="1756"/>
    <x v="1"/>
  </r>
  <r>
    <x v="22"/>
    <x v="2"/>
    <x v="3"/>
    <x v="3"/>
    <x v="2"/>
    <x v="1726"/>
    <x v="1745"/>
    <x v="1741"/>
    <x v="1"/>
    <x v="1"/>
    <x v="1"/>
    <x v="1757"/>
    <x v="1"/>
  </r>
  <r>
    <x v="57"/>
    <x v="5"/>
    <x v="1"/>
    <x v="2"/>
    <x v="7"/>
    <x v="1727"/>
    <x v="1746"/>
    <x v="1742"/>
    <x v="1"/>
    <x v="1"/>
    <x v="1"/>
    <x v="1758"/>
    <x v="1"/>
  </r>
  <r>
    <x v="39"/>
    <x v="2"/>
    <x v="2"/>
    <x v="6"/>
    <x v="0"/>
    <x v="1728"/>
    <x v="1747"/>
    <x v="1743"/>
    <x v="1"/>
    <x v="1"/>
    <x v="1"/>
    <x v="1759"/>
    <x v="1"/>
  </r>
  <r>
    <x v="145"/>
    <x v="1"/>
    <x v="3"/>
    <x v="7"/>
    <x v="6"/>
    <x v="1729"/>
    <x v="1748"/>
    <x v="1744"/>
    <x v="1"/>
    <x v="1"/>
    <x v="1"/>
    <x v="1760"/>
    <x v="1"/>
  </r>
  <r>
    <x v="171"/>
    <x v="2"/>
    <x v="0"/>
    <x v="0"/>
    <x v="8"/>
    <x v="1730"/>
    <x v="1749"/>
    <x v="1745"/>
    <x v="1"/>
    <x v="1"/>
    <x v="1"/>
    <x v="1761"/>
    <x v="1"/>
  </r>
  <r>
    <x v="62"/>
    <x v="6"/>
    <x v="3"/>
    <x v="4"/>
    <x v="8"/>
    <x v="1731"/>
    <x v="1750"/>
    <x v="1746"/>
    <x v="1"/>
    <x v="1"/>
    <x v="1"/>
    <x v="1762"/>
    <x v="1"/>
  </r>
  <r>
    <x v="90"/>
    <x v="6"/>
    <x v="1"/>
    <x v="3"/>
    <x v="2"/>
    <x v="1732"/>
    <x v="1751"/>
    <x v="1747"/>
    <x v="1"/>
    <x v="1"/>
    <x v="1"/>
    <x v="1763"/>
    <x v="1"/>
  </r>
  <r>
    <x v="152"/>
    <x v="0"/>
    <x v="1"/>
    <x v="5"/>
    <x v="5"/>
    <x v="1733"/>
    <x v="1752"/>
    <x v="1748"/>
    <x v="1"/>
    <x v="1"/>
    <x v="1"/>
    <x v="1764"/>
    <x v="1"/>
  </r>
  <r>
    <x v="99"/>
    <x v="3"/>
    <x v="3"/>
    <x v="5"/>
    <x v="8"/>
    <x v="1734"/>
    <x v="1753"/>
    <x v="1749"/>
    <x v="1"/>
    <x v="1"/>
    <x v="1"/>
    <x v="1765"/>
    <x v="1"/>
  </r>
  <r>
    <x v="55"/>
    <x v="2"/>
    <x v="1"/>
    <x v="6"/>
    <x v="5"/>
    <x v="1735"/>
    <x v="1754"/>
    <x v="1750"/>
    <x v="1"/>
    <x v="1"/>
    <x v="1"/>
    <x v="1766"/>
    <x v="1"/>
  </r>
  <r>
    <x v="114"/>
    <x v="4"/>
    <x v="3"/>
    <x v="7"/>
    <x v="2"/>
    <x v="1736"/>
    <x v="1755"/>
    <x v="1751"/>
    <x v="1"/>
    <x v="1"/>
    <x v="1"/>
    <x v="1767"/>
    <x v="1"/>
  </r>
  <r>
    <x v="18"/>
    <x v="6"/>
    <x v="0"/>
    <x v="7"/>
    <x v="7"/>
    <x v="1737"/>
    <x v="1756"/>
    <x v="1752"/>
    <x v="1"/>
    <x v="1"/>
    <x v="1"/>
    <x v="1768"/>
    <x v="1"/>
  </r>
  <r>
    <x v="34"/>
    <x v="0"/>
    <x v="1"/>
    <x v="4"/>
    <x v="2"/>
    <x v="1738"/>
    <x v="1757"/>
    <x v="486"/>
    <x v="1"/>
    <x v="1"/>
    <x v="1"/>
    <x v="1769"/>
    <x v="1"/>
  </r>
  <r>
    <x v="180"/>
    <x v="1"/>
    <x v="0"/>
    <x v="6"/>
    <x v="0"/>
    <x v="1739"/>
    <x v="1758"/>
    <x v="1753"/>
    <x v="1"/>
    <x v="1"/>
    <x v="1"/>
    <x v="1770"/>
    <x v="1"/>
  </r>
  <r>
    <x v="1"/>
    <x v="2"/>
    <x v="3"/>
    <x v="4"/>
    <x v="7"/>
    <x v="126"/>
    <x v="1759"/>
    <x v="1754"/>
    <x v="1"/>
    <x v="1"/>
    <x v="1"/>
    <x v="1771"/>
    <x v="1"/>
  </r>
  <r>
    <x v="34"/>
    <x v="2"/>
    <x v="3"/>
    <x v="3"/>
    <x v="1"/>
    <x v="1740"/>
    <x v="1760"/>
    <x v="1755"/>
    <x v="1"/>
    <x v="1"/>
    <x v="1"/>
    <x v="1772"/>
    <x v="1"/>
  </r>
  <r>
    <x v="91"/>
    <x v="4"/>
    <x v="0"/>
    <x v="4"/>
    <x v="2"/>
    <x v="1741"/>
    <x v="1761"/>
    <x v="1756"/>
    <x v="1"/>
    <x v="1"/>
    <x v="1"/>
    <x v="1773"/>
    <x v="1"/>
  </r>
  <r>
    <x v="64"/>
    <x v="6"/>
    <x v="0"/>
    <x v="7"/>
    <x v="1"/>
    <x v="1742"/>
    <x v="1762"/>
    <x v="1757"/>
    <x v="1"/>
    <x v="1"/>
    <x v="1"/>
    <x v="1774"/>
    <x v="1"/>
  </r>
  <r>
    <x v="110"/>
    <x v="0"/>
    <x v="2"/>
    <x v="1"/>
    <x v="2"/>
    <x v="1743"/>
    <x v="1763"/>
    <x v="1758"/>
    <x v="1"/>
    <x v="1"/>
    <x v="1"/>
    <x v="1775"/>
    <x v="1"/>
  </r>
  <r>
    <x v="40"/>
    <x v="2"/>
    <x v="1"/>
    <x v="5"/>
    <x v="8"/>
    <x v="1744"/>
    <x v="1764"/>
    <x v="1759"/>
    <x v="1"/>
    <x v="1"/>
    <x v="1"/>
    <x v="1776"/>
    <x v="1"/>
  </r>
  <r>
    <x v="33"/>
    <x v="5"/>
    <x v="0"/>
    <x v="1"/>
    <x v="8"/>
    <x v="1745"/>
    <x v="1765"/>
    <x v="1760"/>
    <x v="1"/>
    <x v="1"/>
    <x v="1"/>
    <x v="1777"/>
    <x v="1"/>
  </r>
  <r>
    <x v="51"/>
    <x v="0"/>
    <x v="1"/>
    <x v="2"/>
    <x v="1"/>
    <x v="1746"/>
    <x v="1766"/>
    <x v="1761"/>
    <x v="1"/>
    <x v="1"/>
    <x v="1"/>
    <x v="1778"/>
    <x v="1"/>
  </r>
  <r>
    <x v="168"/>
    <x v="2"/>
    <x v="3"/>
    <x v="1"/>
    <x v="3"/>
    <x v="1747"/>
    <x v="1767"/>
    <x v="1762"/>
    <x v="1"/>
    <x v="1"/>
    <x v="1"/>
    <x v="1779"/>
    <x v="1"/>
  </r>
  <r>
    <x v="177"/>
    <x v="1"/>
    <x v="2"/>
    <x v="1"/>
    <x v="4"/>
    <x v="1748"/>
    <x v="1768"/>
    <x v="1763"/>
    <x v="1"/>
    <x v="1"/>
    <x v="1"/>
    <x v="1780"/>
    <x v="1"/>
  </r>
  <r>
    <x v="3"/>
    <x v="1"/>
    <x v="2"/>
    <x v="4"/>
    <x v="4"/>
    <x v="1749"/>
    <x v="1769"/>
    <x v="1764"/>
    <x v="1"/>
    <x v="1"/>
    <x v="1"/>
    <x v="1781"/>
    <x v="1"/>
  </r>
  <r>
    <x v="50"/>
    <x v="0"/>
    <x v="0"/>
    <x v="2"/>
    <x v="1"/>
    <x v="1750"/>
    <x v="1770"/>
    <x v="1765"/>
    <x v="1"/>
    <x v="1"/>
    <x v="1"/>
    <x v="1782"/>
    <x v="1"/>
  </r>
  <r>
    <x v="161"/>
    <x v="6"/>
    <x v="1"/>
    <x v="7"/>
    <x v="7"/>
    <x v="1751"/>
    <x v="1771"/>
    <x v="1766"/>
    <x v="1"/>
    <x v="1"/>
    <x v="1"/>
    <x v="1783"/>
    <x v="1"/>
  </r>
  <r>
    <x v="63"/>
    <x v="3"/>
    <x v="0"/>
    <x v="0"/>
    <x v="8"/>
    <x v="1752"/>
    <x v="1772"/>
    <x v="1767"/>
    <x v="1"/>
    <x v="1"/>
    <x v="1"/>
    <x v="1784"/>
    <x v="1"/>
  </r>
  <r>
    <x v="80"/>
    <x v="1"/>
    <x v="1"/>
    <x v="3"/>
    <x v="1"/>
    <x v="1753"/>
    <x v="1773"/>
    <x v="1768"/>
    <x v="1"/>
    <x v="1"/>
    <x v="1"/>
    <x v="1785"/>
    <x v="1"/>
  </r>
  <r>
    <x v="86"/>
    <x v="6"/>
    <x v="0"/>
    <x v="1"/>
    <x v="8"/>
    <x v="1754"/>
    <x v="1774"/>
    <x v="1769"/>
    <x v="1"/>
    <x v="1"/>
    <x v="1"/>
    <x v="1786"/>
    <x v="1"/>
  </r>
  <r>
    <x v="30"/>
    <x v="5"/>
    <x v="2"/>
    <x v="0"/>
    <x v="8"/>
    <x v="1755"/>
    <x v="1775"/>
    <x v="1770"/>
    <x v="1"/>
    <x v="1"/>
    <x v="1"/>
    <x v="1787"/>
    <x v="1"/>
  </r>
  <r>
    <x v="100"/>
    <x v="6"/>
    <x v="0"/>
    <x v="7"/>
    <x v="2"/>
    <x v="1756"/>
    <x v="1776"/>
    <x v="1771"/>
    <x v="1"/>
    <x v="1"/>
    <x v="1"/>
    <x v="1788"/>
    <x v="1"/>
  </r>
  <r>
    <x v="9"/>
    <x v="5"/>
    <x v="2"/>
    <x v="6"/>
    <x v="1"/>
    <x v="1757"/>
    <x v="1777"/>
    <x v="1772"/>
    <x v="1"/>
    <x v="1"/>
    <x v="1"/>
    <x v="1789"/>
    <x v="1"/>
  </r>
  <r>
    <x v="47"/>
    <x v="4"/>
    <x v="3"/>
    <x v="7"/>
    <x v="3"/>
    <x v="1758"/>
    <x v="1778"/>
    <x v="1773"/>
    <x v="1"/>
    <x v="1"/>
    <x v="1"/>
    <x v="1790"/>
    <x v="1"/>
  </r>
  <r>
    <x v="172"/>
    <x v="2"/>
    <x v="1"/>
    <x v="0"/>
    <x v="5"/>
    <x v="1759"/>
    <x v="1779"/>
    <x v="1774"/>
    <x v="1"/>
    <x v="1"/>
    <x v="1"/>
    <x v="1791"/>
    <x v="1"/>
  </r>
  <r>
    <x v="129"/>
    <x v="0"/>
    <x v="2"/>
    <x v="1"/>
    <x v="5"/>
    <x v="1760"/>
    <x v="1780"/>
    <x v="1775"/>
    <x v="1"/>
    <x v="1"/>
    <x v="1"/>
    <x v="1792"/>
    <x v="1"/>
  </r>
  <r>
    <x v="74"/>
    <x v="1"/>
    <x v="1"/>
    <x v="1"/>
    <x v="8"/>
    <x v="1761"/>
    <x v="1781"/>
    <x v="1776"/>
    <x v="1"/>
    <x v="1"/>
    <x v="1"/>
    <x v="1793"/>
    <x v="1"/>
  </r>
  <r>
    <x v="149"/>
    <x v="0"/>
    <x v="3"/>
    <x v="7"/>
    <x v="1"/>
    <x v="1762"/>
    <x v="1782"/>
    <x v="1777"/>
    <x v="1"/>
    <x v="1"/>
    <x v="1"/>
    <x v="1794"/>
    <x v="1"/>
  </r>
  <r>
    <x v="34"/>
    <x v="3"/>
    <x v="3"/>
    <x v="7"/>
    <x v="0"/>
    <x v="1763"/>
    <x v="1783"/>
    <x v="1778"/>
    <x v="1"/>
    <x v="1"/>
    <x v="1"/>
    <x v="1795"/>
    <x v="1"/>
  </r>
  <r>
    <x v="14"/>
    <x v="6"/>
    <x v="2"/>
    <x v="5"/>
    <x v="8"/>
    <x v="1764"/>
    <x v="1784"/>
    <x v="1779"/>
    <x v="1"/>
    <x v="1"/>
    <x v="1"/>
    <x v="1796"/>
    <x v="1"/>
  </r>
  <r>
    <x v="121"/>
    <x v="1"/>
    <x v="0"/>
    <x v="4"/>
    <x v="1"/>
    <x v="1765"/>
    <x v="1785"/>
    <x v="1780"/>
    <x v="1"/>
    <x v="1"/>
    <x v="1"/>
    <x v="1797"/>
    <x v="1"/>
  </r>
  <r>
    <x v="24"/>
    <x v="6"/>
    <x v="3"/>
    <x v="7"/>
    <x v="4"/>
    <x v="1766"/>
    <x v="1786"/>
    <x v="1781"/>
    <x v="1"/>
    <x v="1"/>
    <x v="1"/>
    <x v="1798"/>
    <x v="1"/>
  </r>
  <r>
    <x v="76"/>
    <x v="4"/>
    <x v="2"/>
    <x v="5"/>
    <x v="0"/>
    <x v="1767"/>
    <x v="1787"/>
    <x v="1782"/>
    <x v="1"/>
    <x v="1"/>
    <x v="1"/>
    <x v="1799"/>
    <x v="1"/>
  </r>
  <r>
    <x v="0"/>
    <x v="1"/>
    <x v="3"/>
    <x v="5"/>
    <x v="3"/>
    <x v="1768"/>
    <x v="1788"/>
    <x v="1783"/>
    <x v="1"/>
    <x v="1"/>
    <x v="1"/>
    <x v="1800"/>
    <x v="1"/>
  </r>
  <r>
    <x v="128"/>
    <x v="3"/>
    <x v="2"/>
    <x v="4"/>
    <x v="8"/>
    <x v="1769"/>
    <x v="1789"/>
    <x v="1784"/>
    <x v="1"/>
    <x v="1"/>
    <x v="1"/>
    <x v="1801"/>
    <x v="1"/>
  </r>
  <r>
    <x v="108"/>
    <x v="2"/>
    <x v="1"/>
    <x v="6"/>
    <x v="9"/>
    <x v="1770"/>
    <x v="1790"/>
    <x v="1785"/>
    <x v="1"/>
    <x v="1"/>
    <x v="1"/>
    <x v="1802"/>
    <x v="1"/>
  </r>
  <r>
    <x v="161"/>
    <x v="5"/>
    <x v="0"/>
    <x v="7"/>
    <x v="9"/>
    <x v="1771"/>
    <x v="1791"/>
    <x v="1786"/>
    <x v="1"/>
    <x v="1"/>
    <x v="1"/>
    <x v="1803"/>
    <x v="1"/>
  </r>
  <r>
    <x v="106"/>
    <x v="2"/>
    <x v="0"/>
    <x v="2"/>
    <x v="4"/>
    <x v="1772"/>
    <x v="1792"/>
    <x v="1787"/>
    <x v="1"/>
    <x v="1"/>
    <x v="1"/>
    <x v="1804"/>
    <x v="1"/>
  </r>
  <r>
    <x v="175"/>
    <x v="2"/>
    <x v="3"/>
    <x v="3"/>
    <x v="3"/>
    <x v="1773"/>
    <x v="1793"/>
    <x v="1788"/>
    <x v="1"/>
    <x v="1"/>
    <x v="1"/>
    <x v="1805"/>
    <x v="1"/>
  </r>
  <r>
    <x v="149"/>
    <x v="3"/>
    <x v="1"/>
    <x v="4"/>
    <x v="6"/>
    <x v="1774"/>
    <x v="1794"/>
    <x v="1789"/>
    <x v="1"/>
    <x v="1"/>
    <x v="1"/>
    <x v="1806"/>
    <x v="1"/>
  </r>
  <r>
    <x v="135"/>
    <x v="5"/>
    <x v="3"/>
    <x v="5"/>
    <x v="4"/>
    <x v="1496"/>
    <x v="1795"/>
    <x v="1790"/>
    <x v="1"/>
    <x v="1"/>
    <x v="1"/>
    <x v="1807"/>
    <x v="1"/>
  </r>
  <r>
    <x v="167"/>
    <x v="4"/>
    <x v="3"/>
    <x v="5"/>
    <x v="0"/>
    <x v="1775"/>
    <x v="1796"/>
    <x v="1791"/>
    <x v="1"/>
    <x v="1"/>
    <x v="1"/>
    <x v="1808"/>
    <x v="1"/>
  </r>
  <r>
    <x v="66"/>
    <x v="3"/>
    <x v="1"/>
    <x v="1"/>
    <x v="0"/>
    <x v="1776"/>
    <x v="1797"/>
    <x v="1792"/>
    <x v="1"/>
    <x v="1"/>
    <x v="1"/>
    <x v="1809"/>
    <x v="1"/>
  </r>
  <r>
    <x v="42"/>
    <x v="2"/>
    <x v="2"/>
    <x v="3"/>
    <x v="4"/>
    <x v="1777"/>
    <x v="1798"/>
    <x v="1793"/>
    <x v="1"/>
    <x v="1"/>
    <x v="1"/>
    <x v="1810"/>
    <x v="1"/>
  </r>
  <r>
    <x v="177"/>
    <x v="5"/>
    <x v="1"/>
    <x v="3"/>
    <x v="5"/>
    <x v="1778"/>
    <x v="1799"/>
    <x v="1794"/>
    <x v="1"/>
    <x v="1"/>
    <x v="1"/>
    <x v="1811"/>
    <x v="1"/>
  </r>
  <r>
    <x v="55"/>
    <x v="3"/>
    <x v="3"/>
    <x v="2"/>
    <x v="7"/>
    <x v="1779"/>
    <x v="1800"/>
    <x v="1795"/>
    <x v="1"/>
    <x v="1"/>
    <x v="1"/>
    <x v="1812"/>
    <x v="1"/>
  </r>
  <r>
    <x v="100"/>
    <x v="0"/>
    <x v="1"/>
    <x v="7"/>
    <x v="1"/>
    <x v="1780"/>
    <x v="1801"/>
    <x v="1796"/>
    <x v="1"/>
    <x v="1"/>
    <x v="1"/>
    <x v="1813"/>
    <x v="1"/>
  </r>
  <r>
    <x v="5"/>
    <x v="6"/>
    <x v="1"/>
    <x v="0"/>
    <x v="5"/>
    <x v="1781"/>
    <x v="1802"/>
    <x v="1797"/>
    <x v="1"/>
    <x v="1"/>
    <x v="1"/>
    <x v="1814"/>
    <x v="1"/>
  </r>
  <r>
    <x v="119"/>
    <x v="5"/>
    <x v="0"/>
    <x v="4"/>
    <x v="6"/>
    <x v="1782"/>
    <x v="1803"/>
    <x v="1798"/>
    <x v="1"/>
    <x v="1"/>
    <x v="1"/>
    <x v="1815"/>
    <x v="1"/>
  </r>
  <r>
    <x v="145"/>
    <x v="6"/>
    <x v="2"/>
    <x v="5"/>
    <x v="4"/>
    <x v="1571"/>
    <x v="1804"/>
    <x v="1799"/>
    <x v="1"/>
    <x v="1"/>
    <x v="1"/>
    <x v="1816"/>
    <x v="1"/>
  </r>
  <r>
    <x v="131"/>
    <x v="2"/>
    <x v="3"/>
    <x v="7"/>
    <x v="3"/>
    <x v="1783"/>
    <x v="1805"/>
    <x v="1800"/>
    <x v="1"/>
    <x v="1"/>
    <x v="1"/>
    <x v="1817"/>
    <x v="1"/>
  </r>
  <r>
    <x v="136"/>
    <x v="2"/>
    <x v="1"/>
    <x v="7"/>
    <x v="1"/>
    <x v="1784"/>
    <x v="1806"/>
    <x v="1801"/>
    <x v="1"/>
    <x v="1"/>
    <x v="1"/>
    <x v="1818"/>
    <x v="1"/>
  </r>
  <r>
    <x v="161"/>
    <x v="4"/>
    <x v="1"/>
    <x v="0"/>
    <x v="3"/>
    <x v="1785"/>
    <x v="1807"/>
    <x v="1802"/>
    <x v="1"/>
    <x v="1"/>
    <x v="1"/>
    <x v="1819"/>
    <x v="1"/>
  </r>
  <r>
    <x v="149"/>
    <x v="1"/>
    <x v="0"/>
    <x v="2"/>
    <x v="7"/>
    <x v="1786"/>
    <x v="1808"/>
    <x v="1803"/>
    <x v="1"/>
    <x v="1"/>
    <x v="1"/>
    <x v="1820"/>
    <x v="1"/>
  </r>
  <r>
    <x v="47"/>
    <x v="2"/>
    <x v="2"/>
    <x v="2"/>
    <x v="6"/>
    <x v="1787"/>
    <x v="1809"/>
    <x v="1804"/>
    <x v="1"/>
    <x v="1"/>
    <x v="1"/>
    <x v="1821"/>
    <x v="1"/>
  </r>
  <r>
    <x v="68"/>
    <x v="3"/>
    <x v="3"/>
    <x v="4"/>
    <x v="2"/>
    <x v="1788"/>
    <x v="1810"/>
    <x v="1805"/>
    <x v="1"/>
    <x v="1"/>
    <x v="1"/>
    <x v="1822"/>
    <x v="1"/>
  </r>
  <r>
    <x v="121"/>
    <x v="2"/>
    <x v="0"/>
    <x v="6"/>
    <x v="9"/>
    <x v="1789"/>
    <x v="1811"/>
    <x v="1806"/>
    <x v="1"/>
    <x v="1"/>
    <x v="1"/>
    <x v="1823"/>
    <x v="1"/>
  </r>
  <r>
    <x v="38"/>
    <x v="4"/>
    <x v="1"/>
    <x v="6"/>
    <x v="4"/>
    <x v="1790"/>
    <x v="1812"/>
    <x v="1807"/>
    <x v="1"/>
    <x v="1"/>
    <x v="1"/>
    <x v="1824"/>
    <x v="1"/>
  </r>
  <r>
    <x v="119"/>
    <x v="2"/>
    <x v="2"/>
    <x v="2"/>
    <x v="2"/>
    <x v="1791"/>
    <x v="1813"/>
    <x v="1808"/>
    <x v="1"/>
    <x v="1"/>
    <x v="1"/>
    <x v="1825"/>
    <x v="1"/>
  </r>
  <r>
    <x v="91"/>
    <x v="0"/>
    <x v="1"/>
    <x v="5"/>
    <x v="2"/>
    <x v="1792"/>
    <x v="1814"/>
    <x v="1809"/>
    <x v="1"/>
    <x v="1"/>
    <x v="1"/>
    <x v="1826"/>
    <x v="1"/>
  </r>
  <r>
    <x v="27"/>
    <x v="0"/>
    <x v="2"/>
    <x v="1"/>
    <x v="6"/>
    <x v="1793"/>
    <x v="1815"/>
    <x v="1810"/>
    <x v="1"/>
    <x v="1"/>
    <x v="1"/>
    <x v="1827"/>
    <x v="1"/>
  </r>
  <r>
    <x v="93"/>
    <x v="5"/>
    <x v="2"/>
    <x v="7"/>
    <x v="3"/>
    <x v="1794"/>
    <x v="1816"/>
    <x v="1811"/>
    <x v="1"/>
    <x v="1"/>
    <x v="1"/>
    <x v="1828"/>
    <x v="1"/>
  </r>
  <r>
    <x v="40"/>
    <x v="2"/>
    <x v="0"/>
    <x v="7"/>
    <x v="8"/>
    <x v="1795"/>
    <x v="1817"/>
    <x v="1812"/>
    <x v="1"/>
    <x v="1"/>
    <x v="1"/>
    <x v="1829"/>
    <x v="1"/>
  </r>
  <r>
    <x v="73"/>
    <x v="2"/>
    <x v="3"/>
    <x v="7"/>
    <x v="8"/>
    <x v="1796"/>
    <x v="1818"/>
    <x v="1813"/>
    <x v="1"/>
    <x v="1"/>
    <x v="1"/>
    <x v="1830"/>
    <x v="1"/>
  </r>
  <r>
    <x v="70"/>
    <x v="0"/>
    <x v="1"/>
    <x v="5"/>
    <x v="4"/>
    <x v="1797"/>
    <x v="1819"/>
    <x v="1814"/>
    <x v="1"/>
    <x v="1"/>
    <x v="1"/>
    <x v="1831"/>
    <x v="1"/>
  </r>
  <r>
    <x v="124"/>
    <x v="1"/>
    <x v="1"/>
    <x v="1"/>
    <x v="4"/>
    <x v="1798"/>
    <x v="1820"/>
    <x v="1815"/>
    <x v="1"/>
    <x v="1"/>
    <x v="1"/>
    <x v="1832"/>
    <x v="1"/>
  </r>
  <r>
    <x v="100"/>
    <x v="2"/>
    <x v="1"/>
    <x v="4"/>
    <x v="6"/>
    <x v="1799"/>
    <x v="1821"/>
    <x v="1816"/>
    <x v="1"/>
    <x v="1"/>
    <x v="1"/>
    <x v="1833"/>
    <x v="1"/>
  </r>
  <r>
    <x v="32"/>
    <x v="6"/>
    <x v="1"/>
    <x v="2"/>
    <x v="9"/>
    <x v="1800"/>
    <x v="1822"/>
    <x v="1817"/>
    <x v="1"/>
    <x v="1"/>
    <x v="1"/>
    <x v="1834"/>
    <x v="1"/>
  </r>
  <r>
    <x v="99"/>
    <x v="0"/>
    <x v="0"/>
    <x v="7"/>
    <x v="0"/>
    <x v="1801"/>
    <x v="1823"/>
    <x v="1818"/>
    <x v="1"/>
    <x v="1"/>
    <x v="1"/>
    <x v="1835"/>
    <x v="1"/>
  </r>
  <r>
    <x v="175"/>
    <x v="5"/>
    <x v="1"/>
    <x v="2"/>
    <x v="7"/>
    <x v="1802"/>
    <x v="1824"/>
    <x v="1819"/>
    <x v="1"/>
    <x v="1"/>
    <x v="1"/>
    <x v="1836"/>
    <x v="1"/>
  </r>
  <r>
    <x v="106"/>
    <x v="5"/>
    <x v="1"/>
    <x v="6"/>
    <x v="4"/>
    <x v="1803"/>
    <x v="1825"/>
    <x v="766"/>
    <x v="1"/>
    <x v="1"/>
    <x v="1"/>
    <x v="1837"/>
    <x v="1"/>
  </r>
  <r>
    <x v="77"/>
    <x v="0"/>
    <x v="2"/>
    <x v="6"/>
    <x v="6"/>
    <x v="1804"/>
    <x v="1826"/>
    <x v="1820"/>
    <x v="1"/>
    <x v="1"/>
    <x v="1"/>
    <x v="1838"/>
    <x v="1"/>
  </r>
  <r>
    <x v="10"/>
    <x v="4"/>
    <x v="2"/>
    <x v="1"/>
    <x v="8"/>
    <x v="1805"/>
    <x v="1827"/>
    <x v="1821"/>
    <x v="1"/>
    <x v="1"/>
    <x v="1"/>
    <x v="1839"/>
    <x v="1"/>
  </r>
  <r>
    <x v="169"/>
    <x v="4"/>
    <x v="3"/>
    <x v="6"/>
    <x v="7"/>
    <x v="1806"/>
    <x v="1828"/>
    <x v="1822"/>
    <x v="1"/>
    <x v="1"/>
    <x v="1"/>
    <x v="1840"/>
    <x v="1"/>
  </r>
  <r>
    <x v="76"/>
    <x v="3"/>
    <x v="3"/>
    <x v="6"/>
    <x v="5"/>
    <x v="1807"/>
    <x v="1829"/>
    <x v="1823"/>
    <x v="1"/>
    <x v="1"/>
    <x v="1"/>
    <x v="1841"/>
    <x v="1"/>
  </r>
  <r>
    <x v="132"/>
    <x v="1"/>
    <x v="3"/>
    <x v="1"/>
    <x v="8"/>
    <x v="1808"/>
    <x v="1830"/>
    <x v="1824"/>
    <x v="1"/>
    <x v="1"/>
    <x v="1"/>
    <x v="1842"/>
    <x v="1"/>
  </r>
  <r>
    <x v="14"/>
    <x v="4"/>
    <x v="0"/>
    <x v="7"/>
    <x v="1"/>
    <x v="1809"/>
    <x v="1831"/>
    <x v="1825"/>
    <x v="1"/>
    <x v="1"/>
    <x v="1"/>
    <x v="1843"/>
    <x v="1"/>
  </r>
  <r>
    <x v="27"/>
    <x v="3"/>
    <x v="1"/>
    <x v="6"/>
    <x v="0"/>
    <x v="1810"/>
    <x v="1832"/>
    <x v="1826"/>
    <x v="1"/>
    <x v="1"/>
    <x v="1"/>
    <x v="1844"/>
    <x v="1"/>
  </r>
  <r>
    <x v="60"/>
    <x v="0"/>
    <x v="1"/>
    <x v="0"/>
    <x v="7"/>
    <x v="1811"/>
    <x v="1833"/>
    <x v="1827"/>
    <x v="1"/>
    <x v="1"/>
    <x v="1"/>
    <x v="1845"/>
    <x v="1"/>
  </r>
  <r>
    <x v="151"/>
    <x v="6"/>
    <x v="0"/>
    <x v="4"/>
    <x v="8"/>
    <x v="1812"/>
    <x v="1834"/>
    <x v="1828"/>
    <x v="1"/>
    <x v="1"/>
    <x v="1"/>
    <x v="1846"/>
    <x v="1"/>
  </r>
  <r>
    <x v="18"/>
    <x v="6"/>
    <x v="1"/>
    <x v="5"/>
    <x v="7"/>
    <x v="1813"/>
    <x v="1835"/>
    <x v="1829"/>
    <x v="1"/>
    <x v="1"/>
    <x v="1"/>
    <x v="1847"/>
    <x v="1"/>
  </r>
  <r>
    <x v="84"/>
    <x v="2"/>
    <x v="1"/>
    <x v="4"/>
    <x v="7"/>
    <x v="1814"/>
    <x v="1836"/>
    <x v="1830"/>
    <x v="1"/>
    <x v="1"/>
    <x v="1"/>
    <x v="1848"/>
    <x v="1"/>
  </r>
  <r>
    <x v="174"/>
    <x v="2"/>
    <x v="1"/>
    <x v="5"/>
    <x v="0"/>
    <x v="899"/>
    <x v="1837"/>
    <x v="1831"/>
    <x v="1"/>
    <x v="1"/>
    <x v="1"/>
    <x v="1849"/>
    <x v="1"/>
  </r>
  <r>
    <x v="159"/>
    <x v="4"/>
    <x v="0"/>
    <x v="0"/>
    <x v="1"/>
    <x v="1815"/>
    <x v="1838"/>
    <x v="1832"/>
    <x v="1"/>
    <x v="1"/>
    <x v="1"/>
    <x v="1850"/>
    <x v="1"/>
  </r>
  <r>
    <x v="79"/>
    <x v="0"/>
    <x v="0"/>
    <x v="6"/>
    <x v="7"/>
    <x v="1816"/>
    <x v="1839"/>
    <x v="1833"/>
    <x v="1"/>
    <x v="1"/>
    <x v="1"/>
    <x v="1851"/>
    <x v="1"/>
  </r>
  <r>
    <x v="72"/>
    <x v="5"/>
    <x v="1"/>
    <x v="4"/>
    <x v="3"/>
    <x v="1817"/>
    <x v="1840"/>
    <x v="1834"/>
    <x v="1"/>
    <x v="1"/>
    <x v="1"/>
    <x v="1852"/>
    <x v="1"/>
  </r>
  <r>
    <x v="66"/>
    <x v="2"/>
    <x v="2"/>
    <x v="3"/>
    <x v="9"/>
    <x v="1818"/>
    <x v="1841"/>
    <x v="1835"/>
    <x v="1"/>
    <x v="1"/>
    <x v="1"/>
    <x v="1853"/>
    <x v="1"/>
  </r>
  <r>
    <x v="5"/>
    <x v="6"/>
    <x v="1"/>
    <x v="7"/>
    <x v="9"/>
    <x v="1819"/>
    <x v="1842"/>
    <x v="1836"/>
    <x v="1"/>
    <x v="1"/>
    <x v="1"/>
    <x v="1854"/>
    <x v="1"/>
  </r>
  <r>
    <x v="41"/>
    <x v="0"/>
    <x v="0"/>
    <x v="1"/>
    <x v="7"/>
    <x v="1820"/>
    <x v="1843"/>
    <x v="1837"/>
    <x v="1"/>
    <x v="1"/>
    <x v="1"/>
    <x v="1855"/>
    <x v="1"/>
  </r>
  <r>
    <x v="110"/>
    <x v="3"/>
    <x v="1"/>
    <x v="6"/>
    <x v="0"/>
    <x v="1821"/>
    <x v="1844"/>
    <x v="1838"/>
    <x v="1"/>
    <x v="1"/>
    <x v="1"/>
    <x v="1856"/>
    <x v="1"/>
  </r>
  <r>
    <x v="63"/>
    <x v="0"/>
    <x v="2"/>
    <x v="5"/>
    <x v="0"/>
    <x v="1822"/>
    <x v="1845"/>
    <x v="1839"/>
    <x v="1"/>
    <x v="1"/>
    <x v="1"/>
    <x v="1857"/>
    <x v="1"/>
  </r>
  <r>
    <x v="127"/>
    <x v="4"/>
    <x v="3"/>
    <x v="1"/>
    <x v="4"/>
    <x v="1823"/>
    <x v="1846"/>
    <x v="1840"/>
    <x v="1"/>
    <x v="1"/>
    <x v="1"/>
    <x v="1858"/>
    <x v="1"/>
  </r>
  <r>
    <x v="141"/>
    <x v="5"/>
    <x v="3"/>
    <x v="3"/>
    <x v="9"/>
    <x v="1824"/>
    <x v="1847"/>
    <x v="1841"/>
    <x v="1"/>
    <x v="1"/>
    <x v="1"/>
    <x v="1859"/>
    <x v="1"/>
  </r>
  <r>
    <x v="145"/>
    <x v="0"/>
    <x v="3"/>
    <x v="1"/>
    <x v="1"/>
    <x v="1825"/>
    <x v="1848"/>
    <x v="1842"/>
    <x v="1"/>
    <x v="1"/>
    <x v="1"/>
    <x v="1860"/>
    <x v="1"/>
  </r>
  <r>
    <x v="28"/>
    <x v="3"/>
    <x v="2"/>
    <x v="7"/>
    <x v="3"/>
    <x v="1826"/>
    <x v="1849"/>
    <x v="1843"/>
    <x v="1"/>
    <x v="1"/>
    <x v="1"/>
    <x v="1861"/>
    <x v="1"/>
  </r>
  <r>
    <x v="64"/>
    <x v="4"/>
    <x v="3"/>
    <x v="5"/>
    <x v="2"/>
    <x v="1827"/>
    <x v="1850"/>
    <x v="1844"/>
    <x v="1"/>
    <x v="1"/>
    <x v="1"/>
    <x v="1862"/>
    <x v="1"/>
  </r>
  <r>
    <x v="122"/>
    <x v="1"/>
    <x v="0"/>
    <x v="7"/>
    <x v="3"/>
    <x v="1828"/>
    <x v="1851"/>
    <x v="1845"/>
    <x v="1"/>
    <x v="1"/>
    <x v="1"/>
    <x v="1863"/>
    <x v="1"/>
  </r>
  <r>
    <x v="1"/>
    <x v="5"/>
    <x v="3"/>
    <x v="5"/>
    <x v="0"/>
    <x v="1829"/>
    <x v="1852"/>
    <x v="1846"/>
    <x v="1"/>
    <x v="1"/>
    <x v="1"/>
    <x v="1864"/>
    <x v="1"/>
  </r>
  <r>
    <x v="9"/>
    <x v="4"/>
    <x v="3"/>
    <x v="6"/>
    <x v="0"/>
    <x v="1830"/>
    <x v="1853"/>
    <x v="1847"/>
    <x v="1"/>
    <x v="1"/>
    <x v="1"/>
    <x v="1865"/>
    <x v="1"/>
  </r>
  <r>
    <x v="96"/>
    <x v="1"/>
    <x v="1"/>
    <x v="5"/>
    <x v="4"/>
    <x v="1831"/>
    <x v="1854"/>
    <x v="1848"/>
    <x v="1"/>
    <x v="1"/>
    <x v="1"/>
    <x v="1866"/>
    <x v="1"/>
  </r>
  <r>
    <x v="38"/>
    <x v="0"/>
    <x v="1"/>
    <x v="3"/>
    <x v="4"/>
    <x v="1832"/>
    <x v="1855"/>
    <x v="1849"/>
    <x v="1"/>
    <x v="1"/>
    <x v="1"/>
    <x v="1867"/>
    <x v="1"/>
  </r>
  <r>
    <x v="149"/>
    <x v="4"/>
    <x v="2"/>
    <x v="5"/>
    <x v="2"/>
    <x v="1833"/>
    <x v="1856"/>
    <x v="1850"/>
    <x v="1"/>
    <x v="1"/>
    <x v="1"/>
    <x v="1868"/>
    <x v="1"/>
  </r>
  <r>
    <x v="178"/>
    <x v="6"/>
    <x v="3"/>
    <x v="7"/>
    <x v="1"/>
    <x v="1834"/>
    <x v="1857"/>
    <x v="1851"/>
    <x v="1"/>
    <x v="1"/>
    <x v="1"/>
    <x v="1869"/>
    <x v="1"/>
  </r>
  <r>
    <x v="178"/>
    <x v="3"/>
    <x v="0"/>
    <x v="3"/>
    <x v="9"/>
    <x v="1835"/>
    <x v="1858"/>
    <x v="1852"/>
    <x v="1"/>
    <x v="1"/>
    <x v="1"/>
    <x v="1870"/>
    <x v="1"/>
  </r>
  <r>
    <x v="162"/>
    <x v="5"/>
    <x v="2"/>
    <x v="7"/>
    <x v="1"/>
    <x v="1836"/>
    <x v="1859"/>
    <x v="1853"/>
    <x v="1"/>
    <x v="1"/>
    <x v="1"/>
    <x v="1871"/>
    <x v="1"/>
  </r>
  <r>
    <x v="177"/>
    <x v="1"/>
    <x v="1"/>
    <x v="2"/>
    <x v="0"/>
    <x v="1837"/>
    <x v="1860"/>
    <x v="1854"/>
    <x v="1"/>
    <x v="1"/>
    <x v="1"/>
    <x v="1872"/>
    <x v="1"/>
  </r>
  <r>
    <x v="35"/>
    <x v="3"/>
    <x v="0"/>
    <x v="6"/>
    <x v="1"/>
    <x v="1838"/>
    <x v="1861"/>
    <x v="1855"/>
    <x v="1"/>
    <x v="1"/>
    <x v="1"/>
    <x v="1873"/>
    <x v="1"/>
  </r>
  <r>
    <x v="83"/>
    <x v="0"/>
    <x v="2"/>
    <x v="6"/>
    <x v="4"/>
    <x v="1119"/>
    <x v="1128"/>
    <x v="1856"/>
    <x v="1"/>
    <x v="1"/>
    <x v="1"/>
    <x v="1874"/>
    <x v="1"/>
  </r>
  <r>
    <x v="141"/>
    <x v="0"/>
    <x v="1"/>
    <x v="3"/>
    <x v="5"/>
    <x v="1839"/>
    <x v="1862"/>
    <x v="1857"/>
    <x v="1"/>
    <x v="1"/>
    <x v="1"/>
    <x v="1875"/>
    <x v="1"/>
  </r>
  <r>
    <x v="145"/>
    <x v="5"/>
    <x v="0"/>
    <x v="2"/>
    <x v="6"/>
    <x v="1840"/>
    <x v="1863"/>
    <x v="1858"/>
    <x v="1"/>
    <x v="1"/>
    <x v="1"/>
    <x v="1876"/>
    <x v="1"/>
  </r>
  <r>
    <x v="105"/>
    <x v="3"/>
    <x v="2"/>
    <x v="4"/>
    <x v="5"/>
    <x v="913"/>
    <x v="1864"/>
    <x v="1859"/>
    <x v="1"/>
    <x v="1"/>
    <x v="1"/>
    <x v="1877"/>
    <x v="1"/>
  </r>
  <r>
    <x v="70"/>
    <x v="3"/>
    <x v="0"/>
    <x v="6"/>
    <x v="3"/>
    <x v="1841"/>
    <x v="1865"/>
    <x v="1860"/>
    <x v="1"/>
    <x v="1"/>
    <x v="1"/>
    <x v="1878"/>
    <x v="1"/>
  </r>
  <r>
    <x v="79"/>
    <x v="3"/>
    <x v="3"/>
    <x v="0"/>
    <x v="4"/>
    <x v="1842"/>
    <x v="1866"/>
    <x v="1861"/>
    <x v="1"/>
    <x v="1"/>
    <x v="1"/>
    <x v="1879"/>
    <x v="1"/>
  </r>
  <r>
    <x v="1"/>
    <x v="0"/>
    <x v="1"/>
    <x v="6"/>
    <x v="6"/>
    <x v="1843"/>
    <x v="1867"/>
    <x v="1862"/>
    <x v="1"/>
    <x v="1"/>
    <x v="1"/>
    <x v="1880"/>
    <x v="1"/>
  </r>
  <r>
    <x v="110"/>
    <x v="4"/>
    <x v="2"/>
    <x v="6"/>
    <x v="4"/>
    <x v="1844"/>
    <x v="1868"/>
    <x v="1863"/>
    <x v="1"/>
    <x v="1"/>
    <x v="1"/>
    <x v="1881"/>
    <x v="1"/>
  </r>
  <r>
    <x v="89"/>
    <x v="6"/>
    <x v="1"/>
    <x v="2"/>
    <x v="9"/>
    <x v="1845"/>
    <x v="1869"/>
    <x v="1864"/>
    <x v="1"/>
    <x v="1"/>
    <x v="1"/>
    <x v="1882"/>
    <x v="1"/>
  </r>
  <r>
    <x v="16"/>
    <x v="6"/>
    <x v="1"/>
    <x v="4"/>
    <x v="2"/>
    <x v="1846"/>
    <x v="1870"/>
    <x v="1865"/>
    <x v="1"/>
    <x v="1"/>
    <x v="1"/>
    <x v="1883"/>
    <x v="1"/>
  </r>
  <r>
    <x v="161"/>
    <x v="5"/>
    <x v="1"/>
    <x v="5"/>
    <x v="6"/>
    <x v="1847"/>
    <x v="1871"/>
    <x v="1866"/>
    <x v="1"/>
    <x v="1"/>
    <x v="1"/>
    <x v="1884"/>
    <x v="1"/>
  </r>
  <r>
    <x v="92"/>
    <x v="1"/>
    <x v="0"/>
    <x v="0"/>
    <x v="9"/>
    <x v="1848"/>
    <x v="1872"/>
    <x v="1867"/>
    <x v="1"/>
    <x v="1"/>
    <x v="1"/>
    <x v="1885"/>
    <x v="1"/>
  </r>
  <r>
    <x v="115"/>
    <x v="1"/>
    <x v="3"/>
    <x v="7"/>
    <x v="2"/>
    <x v="1849"/>
    <x v="1873"/>
    <x v="1868"/>
    <x v="1"/>
    <x v="1"/>
    <x v="1"/>
    <x v="1886"/>
    <x v="1"/>
  </r>
  <r>
    <x v="86"/>
    <x v="4"/>
    <x v="2"/>
    <x v="3"/>
    <x v="0"/>
    <x v="1850"/>
    <x v="1874"/>
    <x v="1869"/>
    <x v="1"/>
    <x v="1"/>
    <x v="1"/>
    <x v="1887"/>
    <x v="1"/>
  </r>
  <r>
    <x v="69"/>
    <x v="1"/>
    <x v="0"/>
    <x v="7"/>
    <x v="1"/>
    <x v="1851"/>
    <x v="1875"/>
    <x v="1870"/>
    <x v="1"/>
    <x v="1"/>
    <x v="1"/>
    <x v="1888"/>
    <x v="1"/>
  </r>
  <r>
    <x v="113"/>
    <x v="3"/>
    <x v="0"/>
    <x v="0"/>
    <x v="6"/>
    <x v="1852"/>
    <x v="1876"/>
    <x v="1871"/>
    <x v="1"/>
    <x v="1"/>
    <x v="1"/>
    <x v="1889"/>
    <x v="1"/>
  </r>
  <r>
    <x v="72"/>
    <x v="2"/>
    <x v="2"/>
    <x v="7"/>
    <x v="7"/>
    <x v="1853"/>
    <x v="1877"/>
    <x v="1872"/>
    <x v="1"/>
    <x v="1"/>
    <x v="1"/>
    <x v="1890"/>
    <x v="1"/>
  </r>
  <r>
    <x v="138"/>
    <x v="0"/>
    <x v="2"/>
    <x v="2"/>
    <x v="9"/>
    <x v="1854"/>
    <x v="1878"/>
    <x v="1873"/>
    <x v="1"/>
    <x v="1"/>
    <x v="1"/>
    <x v="1891"/>
    <x v="1"/>
  </r>
  <r>
    <x v="64"/>
    <x v="2"/>
    <x v="0"/>
    <x v="4"/>
    <x v="3"/>
    <x v="1855"/>
    <x v="1879"/>
    <x v="1874"/>
    <x v="1"/>
    <x v="1"/>
    <x v="1"/>
    <x v="1892"/>
    <x v="1"/>
  </r>
  <r>
    <x v="144"/>
    <x v="3"/>
    <x v="2"/>
    <x v="5"/>
    <x v="3"/>
    <x v="650"/>
    <x v="653"/>
    <x v="1875"/>
    <x v="1"/>
    <x v="1"/>
    <x v="1"/>
    <x v="1893"/>
    <x v="1"/>
  </r>
  <r>
    <x v="54"/>
    <x v="6"/>
    <x v="1"/>
    <x v="5"/>
    <x v="9"/>
    <x v="1856"/>
    <x v="1880"/>
    <x v="1876"/>
    <x v="1"/>
    <x v="1"/>
    <x v="1"/>
    <x v="1894"/>
    <x v="1"/>
  </r>
  <r>
    <x v="56"/>
    <x v="2"/>
    <x v="1"/>
    <x v="2"/>
    <x v="7"/>
    <x v="1857"/>
    <x v="1881"/>
    <x v="1877"/>
    <x v="1"/>
    <x v="1"/>
    <x v="1"/>
    <x v="1895"/>
    <x v="1"/>
  </r>
  <r>
    <x v="75"/>
    <x v="3"/>
    <x v="0"/>
    <x v="3"/>
    <x v="7"/>
    <x v="1858"/>
    <x v="1882"/>
    <x v="1878"/>
    <x v="1"/>
    <x v="1"/>
    <x v="1"/>
    <x v="1896"/>
    <x v="1"/>
  </r>
  <r>
    <x v="169"/>
    <x v="2"/>
    <x v="2"/>
    <x v="2"/>
    <x v="6"/>
    <x v="1859"/>
    <x v="1883"/>
    <x v="1879"/>
    <x v="1"/>
    <x v="1"/>
    <x v="1"/>
    <x v="1897"/>
    <x v="1"/>
  </r>
  <r>
    <x v="151"/>
    <x v="1"/>
    <x v="3"/>
    <x v="1"/>
    <x v="9"/>
    <x v="1860"/>
    <x v="1884"/>
    <x v="1880"/>
    <x v="1"/>
    <x v="1"/>
    <x v="1"/>
    <x v="1898"/>
    <x v="1"/>
  </r>
  <r>
    <x v="136"/>
    <x v="5"/>
    <x v="0"/>
    <x v="6"/>
    <x v="9"/>
    <x v="1861"/>
    <x v="1885"/>
    <x v="1881"/>
    <x v="1"/>
    <x v="1"/>
    <x v="1"/>
    <x v="1899"/>
    <x v="1"/>
  </r>
  <r>
    <x v="130"/>
    <x v="6"/>
    <x v="3"/>
    <x v="2"/>
    <x v="6"/>
    <x v="1862"/>
    <x v="1886"/>
    <x v="1882"/>
    <x v="1"/>
    <x v="1"/>
    <x v="1"/>
    <x v="1900"/>
    <x v="1"/>
  </r>
  <r>
    <x v="31"/>
    <x v="4"/>
    <x v="2"/>
    <x v="3"/>
    <x v="7"/>
    <x v="1863"/>
    <x v="1887"/>
    <x v="1883"/>
    <x v="1"/>
    <x v="1"/>
    <x v="1"/>
    <x v="1901"/>
    <x v="1"/>
  </r>
  <r>
    <x v="123"/>
    <x v="2"/>
    <x v="3"/>
    <x v="3"/>
    <x v="4"/>
    <x v="1864"/>
    <x v="1888"/>
    <x v="1884"/>
    <x v="1"/>
    <x v="1"/>
    <x v="1"/>
    <x v="1902"/>
    <x v="1"/>
  </r>
  <r>
    <x v="79"/>
    <x v="1"/>
    <x v="2"/>
    <x v="3"/>
    <x v="6"/>
    <x v="1865"/>
    <x v="1889"/>
    <x v="1885"/>
    <x v="1"/>
    <x v="1"/>
    <x v="1"/>
    <x v="1903"/>
    <x v="1"/>
  </r>
  <r>
    <x v="167"/>
    <x v="5"/>
    <x v="3"/>
    <x v="4"/>
    <x v="3"/>
    <x v="1866"/>
    <x v="1890"/>
    <x v="1886"/>
    <x v="1"/>
    <x v="1"/>
    <x v="1"/>
    <x v="1904"/>
    <x v="1"/>
  </r>
  <r>
    <x v="11"/>
    <x v="1"/>
    <x v="0"/>
    <x v="2"/>
    <x v="9"/>
    <x v="1867"/>
    <x v="1891"/>
    <x v="1887"/>
    <x v="1"/>
    <x v="1"/>
    <x v="1"/>
    <x v="1905"/>
    <x v="1"/>
  </r>
  <r>
    <x v="30"/>
    <x v="1"/>
    <x v="3"/>
    <x v="7"/>
    <x v="4"/>
    <x v="1868"/>
    <x v="1892"/>
    <x v="1888"/>
    <x v="1"/>
    <x v="1"/>
    <x v="1"/>
    <x v="1906"/>
    <x v="1"/>
  </r>
  <r>
    <x v="70"/>
    <x v="5"/>
    <x v="0"/>
    <x v="2"/>
    <x v="4"/>
    <x v="1869"/>
    <x v="1893"/>
    <x v="1889"/>
    <x v="1"/>
    <x v="1"/>
    <x v="1"/>
    <x v="1907"/>
    <x v="1"/>
  </r>
  <r>
    <x v="161"/>
    <x v="0"/>
    <x v="3"/>
    <x v="1"/>
    <x v="4"/>
    <x v="1870"/>
    <x v="1894"/>
    <x v="1890"/>
    <x v="1"/>
    <x v="1"/>
    <x v="1"/>
    <x v="1908"/>
    <x v="1"/>
  </r>
  <r>
    <x v="167"/>
    <x v="5"/>
    <x v="2"/>
    <x v="5"/>
    <x v="7"/>
    <x v="1871"/>
    <x v="1895"/>
    <x v="1891"/>
    <x v="1"/>
    <x v="1"/>
    <x v="1"/>
    <x v="1909"/>
    <x v="1"/>
  </r>
  <r>
    <x v="150"/>
    <x v="5"/>
    <x v="1"/>
    <x v="0"/>
    <x v="6"/>
    <x v="1872"/>
    <x v="1896"/>
    <x v="1892"/>
    <x v="1"/>
    <x v="1"/>
    <x v="1"/>
    <x v="1910"/>
    <x v="1"/>
  </r>
  <r>
    <x v="108"/>
    <x v="2"/>
    <x v="0"/>
    <x v="1"/>
    <x v="6"/>
    <x v="1873"/>
    <x v="1897"/>
    <x v="1893"/>
    <x v="1"/>
    <x v="1"/>
    <x v="1"/>
    <x v="1911"/>
    <x v="1"/>
  </r>
  <r>
    <x v="155"/>
    <x v="2"/>
    <x v="0"/>
    <x v="6"/>
    <x v="1"/>
    <x v="1874"/>
    <x v="1898"/>
    <x v="1894"/>
    <x v="1"/>
    <x v="1"/>
    <x v="1"/>
    <x v="1912"/>
    <x v="1"/>
  </r>
  <r>
    <x v="120"/>
    <x v="2"/>
    <x v="2"/>
    <x v="0"/>
    <x v="1"/>
    <x v="1875"/>
    <x v="1899"/>
    <x v="1895"/>
    <x v="1"/>
    <x v="1"/>
    <x v="1"/>
    <x v="1913"/>
    <x v="1"/>
  </r>
  <r>
    <x v="15"/>
    <x v="1"/>
    <x v="3"/>
    <x v="5"/>
    <x v="2"/>
    <x v="1876"/>
    <x v="1900"/>
    <x v="1896"/>
    <x v="1"/>
    <x v="1"/>
    <x v="1"/>
    <x v="1914"/>
    <x v="1"/>
  </r>
  <r>
    <x v="95"/>
    <x v="2"/>
    <x v="2"/>
    <x v="3"/>
    <x v="4"/>
    <x v="1877"/>
    <x v="1901"/>
    <x v="1897"/>
    <x v="1"/>
    <x v="1"/>
    <x v="1"/>
    <x v="1915"/>
    <x v="1"/>
  </r>
  <r>
    <x v="34"/>
    <x v="4"/>
    <x v="0"/>
    <x v="0"/>
    <x v="3"/>
    <x v="1878"/>
    <x v="1902"/>
    <x v="1898"/>
    <x v="1"/>
    <x v="1"/>
    <x v="1"/>
    <x v="1916"/>
    <x v="1"/>
  </r>
  <r>
    <x v="49"/>
    <x v="1"/>
    <x v="0"/>
    <x v="7"/>
    <x v="0"/>
    <x v="421"/>
    <x v="1903"/>
    <x v="1899"/>
    <x v="1"/>
    <x v="1"/>
    <x v="1"/>
    <x v="1917"/>
    <x v="1"/>
  </r>
  <r>
    <x v="85"/>
    <x v="5"/>
    <x v="1"/>
    <x v="1"/>
    <x v="7"/>
    <x v="1879"/>
    <x v="1904"/>
    <x v="1900"/>
    <x v="1"/>
    <x v="1"/>
    <x v="1"/>
    <x v="1918"/>
    <x v="1"/>
  </r>
  <r>
    <x v="74"/>
    <x v="0"/>
    <x v="3"/>
    <x v="2"/>
    <x v="4"/>
    <x v="1880"/>
    <x v="1905"/>
    <x v="1901"/>
    <x v="1"/>
    <x v="1"/>
    <x v="1"/>
    <x v="1919"/>
    <x v="1"/>
  </r>
  <r>
    <x v="28"/>
    <x v="6"/>
    <x v="0"/>
    <x v="0"/>
    <x v="4"/>
    <x v="1881"/>
    <x v="1906"/>
    <x v="1902"/>
    <x v="1"/>
    <x v="1"/>
    <x v="1"/>
    <x v="1920"/>
    <x v="1"/>
  </r>
  <r>
    <x v="144"/>
    <x v="5"/>
    <x v="0"/>
    <x v="4"/>
    <x v="8"/>
    <x v="1882"/>
    <x v="1907"/>
    <x v="1903"/>
    <x v="1"/>
    <x v="1"/>
    <x v="1"/>
    <x v="1921"/>
    <x v="1"/>
  </r>
  <r>
    <x v="151"/>
    <x v="6"/>
    <x v="1"/>
    <x v="0"/>
    <x v="4"/>
    <x v="1883"/>
    <x v="1908"/>
    <x v="1904"/>
    <x v="1"/>
    <x v="1"/>
    <x v="1"/>
    <x v="1922"/>
    <x v="1"/>
  </r>
  <r>
    <x v="29"/>
    <x v="0"/>
    <x v="3"/>
    <x v="2"/>
    <x v="0"/>
    <x v="1884"/>
    <x v="1909"/>
    <x v="1905"/>
    <x v="1"/>
    <x v="1"/>
    <x v="1"/>
    <x v="1923"/>
    <x v="1"/>
  </r>
  <r>
    <x v="151"/>
    <x v="5"/>
    <x v="3"/>
    <x v="0"/>
    <x v="6"/>
    <x v="1885"/>
    <x v="1910"/>
    <x v="1906"/>
    <x v="1"/>
    <x v="1"/>
    <x v="1"/>
    <x v="1924"/>
    <x v="1"/>
  </r>
  <r>
    <x v="72"/>
    <x v="1"/>
    <x v="1"/>
    <x v="1"/>
    <x v="8"/>
    <x v="1886"/>
    <x v="1911"/>
    <x v="1907"/>
    <x v="1"/>
    <x v="1"/>
    <x v="1"/>
    <x v="1925"/>
    <x v="1"/>
  </r>
  <r>
    <x v="174"/>
    <x v="5"/>
    <x v="0"/>
    <x v="0"/>
    <x v="8"/>
    <x v="1448"/>
    <x v="1912"/>
    <x v="1908"/>
    <x v="1"/>
    <x v="1"/>
    <x v="1"/>
    <x v="1926"/>
    <x v="1"/>
  </r>
  <r>
    <x v="91"/>
    <x v="5"/>
    <x v="0"/>
    <x v="5"/>
    <x v="9"/>
    <x v="1887"/>
    <x v="1913"/>
    <x v="1909"/>
    <x v="1"/>
    <x v="1"/>
    <x v="1"/>
    <x v="1927"/>
    <x v="1"/>
  </r>
  <r>
    <x v="105"/>
    <x v="5"/>
    <x v="0"/>
    <x v="2"/>
    <x v="4"/>
    <x v="1888"/>
    <x v="1914"/>
    <x v="1910"/>
    <x v="1"/>
    <x v="1"/>
    <x v="1"/>
    <x v="1928"/>
    <x v="1"/>
  </r>
  <r>
    <x v="65"/>
    <x v="4"/>
    <x v="2"/>
    <x v="6"/>
    <x v="0"/>
    <x v="1889"/>
    <x v="1915"/>
    <x v="1911"/>
    <x v="1"/>
    <x v="1"/>
    <x v="1"/>
    <x v="1929"/>
    <x v="1"/>
  </r>
  <r>
    <x v="172"/>
    <x v="5"/>
    <x v="2"/>
    <x v="4"/>
    <x v="2"/>
    <x v="1890"/>
    <x v="1916"/>
    <x v="1912"/>
    <x v="1"/>
    <x v="1"/>
    <x v="1"/>
    <x v="1930"/>
    <x v="1"/>
  </r>
  <r>
    <x v="40"/>
    <x v="5"/>
    <x v="2"/>
    <x v="4"/>
    <x v="5"/>
    <x v="1891"/>
    <x v="1917"/>
    <x v="1913"/>
    <x v="1"/>
    <x v="1"/>
    <x v="1"/>
    <x v="1931"/>
    <x v="1"/>
  </r>
  <r>
    <x v="24"/>
    <x v="6"/>
    <x v="0"/>
    <x v="5"/>
    <x v="2"/>
    <x v="1892"/>
    <x v="1918"/>
    <x v="1914"/>
    <x v="1"/>
    <x v="1"/>
    <x v="1"/>
    <x v="1932"/>
    <x v="1"/>
  </r>
  <r>
    <x v="171"/>
    <x v="5"/>
    <x v="0"/>
    <x v="5"/>
    <x v="6"/>
    <x v="1893"/>
    <x v="1919"/>
    <x v="1915"/>
    <x v="1"/>
    <x v="1"/>
    <x v="1"/>
    <x v="1933"/>
    <x v="1"/>
  </r>
  <r>
    <x v="174"/>
    <x v="1"/>
    <x v="0"/>
    <x v="1"/>
    <x v="4"/>
    <x v="1894"/>
    <x v="1920"/>
    <x v="1916"/>
    <x v="1"/>
    <x v="1"/>
    <x v="1"/>
    <x v="1934"/>
    <x v="1"/>
  </r>
  <r>
    <x v="122"/>
    <x v="4"/>
    <x v="2"/>
    <x v="7"/>
    <x v="8"/>
    <x v="1895"/>
    <x v="1921"/>
    <x v="1917"/>
    <x v="1"/>
    <x v="1"/>
    <x v="1"/>
    <x v="1935"/>
    <x v="1"/>
  </r>
  <r>
    <x v="164"/>
    <x v="0"/>
    <x v="1"/>
    <x v="3"/>
    <x v="6"/>
    <x v="1896"/>
    <x v="1922"/>
    <x v="1918"/>
    <x v="1"/>
    <x v="1"/>
    <x v="1"/>
    <x v="1936"/>
    <x v="1"/>
  </r>
  <r>
    <x v="174"/>
    <x v="6"/>
    <x v="3"/>
    <x v="2"/>
    <x v="6"/>
    <x v="1897"/>
    <x v="1923"/>
    <x v="1919"/>
    <x v="1"/>
    <x v="1"/>
    <x v="1"/>
    <x v="1937"/>
    <x v="1"/>
  </r>
  <r>
    <x v="1"/>
    <x v="1"/>
    <x v="2"/>
    <x v="2"/>
    <x v="0"/>
    <x v="1898"/>
    <x v="1924"/>
    <x v="372"/>
    <x v="1"/>
    <x v="1"/>
    <x v="1"/>
    <x v="1938"/>
    <x v="1"/>
  </r>
  <r>
    <x v="65"/>
    <x v="5"/>
    <x v="0"/>
    <x v="6"/>
    <x v="2"/>
    <x v="1899"/>
    <x v="1925"/>
    <x v="1920"/>
    <x v="1"/>
    <x v="1"/>
    <x v="1"/>
    <x v="1939"/>
    <x v="1"/>
  </r>
  <r>
    <x v="157"/>
    <x v="3"/>
    <x v="3"/>
    <x v="4"/>
    <x v="0"/>
    <x v="1900"/>
    <x v="1926"/>
    <x v="1921"/>
    <x v="1"/>
    <x v="1"/>
    <x v="1"/>
    <x v="1940"/>
    <x v="1"/>
  </r>
  <r>
    <x v="48"/>
    <x v="0"/>
    <x v="1"/>
    <x v="0"/>
    <x v="7"/>
    <x v="1901"/>
    <x v="1927"/>
    <x v="1922"/>
    <x v="1"/>
    <x v="1"/>
    <x v="1"/>
    <x v="1941"/>
    <x v="1"/>
  </r>
  <r>
    <x v="69"/>
    <x v="3"/>
    <x v="1"/>
    <x v="4"/>
    <x v="9"/>
    <x v="1902"/>
    <x v="1928"/>
    <x v="1923"/>
    <x v="1"/>
    <x v="1"/>
    <x v="1"/>
    <x v="1942"/>
    <x v="1"/>
  </r>
  <r>
    <x v="42"/>
    <x v="2"/>
    <x v="1"/>
    <x v="0"/>
    <x v="4"/>
    <x v="1891"/>
    <x v="1929"/>
    <x v="1924"/>
    <x v="1"/>
    <x v="1"/>
    <x v="1"/>
    <x v="1943"/>
    <x v="1"/>
  </r>
  <r>
    <x v="104"/>
    <x v="2"/>
    <x v="0"/>
    <x v="4"/>
    <x v="8"/>
    <x v="1903"/>
    <x v="1930"/>
    <x v="1925"/>
    <x v="1"/>
    <x v="1"/>
    <x v="1"/>
    <x v="1944"/>
    <x v="1"/>
  </r>
  <r>
    <x v="6"/>
    <x v="3"/>
    <x v="0"/>
    <x v="4"/>
    <x v="6"/>
    <x v="1904"/>
    <x v="1931"/>
    <x v="1926"/>
    <x v="1"/>
    <x v="1"/>
    <x v="1"/>
    <x v="1945"/>
    <x v="1"/>
  </r>
  <r>
    <x v="23"/>
    <x v="5"/>
    <x v="2"/>
    <x v="7"/>
    <x v="4"/>
    <x v="1905"/>
    <x v="1932"/>
    <x v="1927"/>
    <x v="1"/>
    <x v="1"/>
    <x v="1"/>
    <x v="1946"/>
    <x v="1"/>
  </r>
  <r>
    <x v="13"/>
    <x v="3"/>
    <x v="0"/>
    <x v="3"/>
    <x v="2"/>
    <x v="1906"/>
    <x v="1933"/>
    <x v="1928"/>
    <x v="1"/>
    <x v="1"/>
    <x v="1"/>
    <x v="1947"/>
    <x v="1"/>
  </r>
  <r>
    <x v="42"/>
    <x v="5"/>
    <x v="2"/>
    <x v="2"/>
    <x v="1"/>
    <x v="1907"/>
    <x v="1934"/>
    <x v="1929"/>
    <x v="1"/>
    <x v="1"/>
    <x v="1"/>
    <x v="1948"/>
    <x v="1"/>
  </r>
  <r>
    <x v="110"/>
    <x v="3"/>
    <x v="2"/>
    <x v="3"/>
    <x v="1"/>
    <x v="1908"/>
    <x v="1935"/>
    <x v="1930"/>
    <x v="1"/>
    <x v="1"/>
    <x v="1"/>
    <x v="1949"/>
    <x v="1"/>
  </r>
  <r>
    <x v="178"/>
    <x v="1"/>
    <x v="3"/>
    <x v="1"/>
    <x v="8"/>
    <x v="1909"/>
    <x v="1936"/>
    <x v="1931"/>
    <x v="1"/>
    <x v="1"/>
    <x v="1"/>
    <x v="1950"/>
    <x v="1"/>
  </r>
  <r>
    <x v="143"/>
    <x v="1"/>
    <x v="3"/>
    <x v="1"/>
    <x v="7"/>
    <x v="1910"/>
    <x v="1937"/>
    <x v="1932"/>
    <x v="1"/>
    <x v="1"/>
    <x v="1"/>
    <x v="1951"/>
    <x v="1"/>
  </r>
  <r>
    <x v="39"/>
    <x v="5"/>
    <x v="2"/>
    <x v="1"/>
    <x v="5"/>
    <x v="1911"/>
    <x v="1938"/>
    <x v="1933"/>
    <x v="1"/>
    <x v="1"/>
    <x v="1"/>
    <x v="1952"/>
    <x v="1"/>
  </r>
  <r>
    <x v="122"/>
    <x v="3"/>
    <x v="2"/>
    <x v="4"/>
    <x v="7"/>
    <x v="1912"/>
    <x v="1939"/>
    <x v="1934"/>
    <x v="1"/>
    <x v="1"/>
    <x v="1"/>
    <x v="1953"/>
    <x v="1"/>
  </r>
  <r>
    <x v="52"/>
    <x v="2"/>
    <x v="3"/>
    <x v="2"/>
    <x v="8"/>
    <x v="1913"/>
    <x v="1940"/>
    <x v="1935"/>
    <x v="1"/>
    <x v="1"/>
    <x v="1"/>
    <x v="1954"/>
    <x v="1"/>
  </r>
  <r>
    <x v="99"/>
    <x v="2"/>
    <x v="2"/>
    <x v="5"/>
    <x v="4"/>
    <x v="1914"/>
    <x v="1941"/>
    <x v="1936"/>
    <x v="1"/>
    <x v="1"/>
    <x v="1"/>
    <x v="1955"/>
    <x v="1"/>
  </r>
  <r>
    <x v="164"/>
    <x v="5"/>
    <x v="0"/>
    <x v="4"/>
    <x v="4"/>
    <x v="1915"/>
    <x v="1942"/>
    <x v="1937"/>
    <x v="1"/>
    <x v="1"/>
    <x v="1"/>
    <x v="1956"/>
    <x v="1"/>
  </r>
  <r>
    <x v="100"/>
    <x v="2"/>
    <x v="0"/>
    <x v="7"/>
    <x v="7"/>
    <x v="1916"/>
    <x v="1943"/>
    <x v="1938"/>
    <x v="1"/>
    <x v="1"/>
    <x v="1"/>
    <x v="1957"/>
    <x v="1"/>
  </r>
  <r>
    <x v="95"/>
    <x v="1"/>
    <x v="0"/>
    <x v="4"/>
    <x v="4"/>
    <x v="1917"/>
    <x v="1944"/>
    <x v="1939"/>
    <x v="1"/>
    <x v="1"/>
    <x v="1"/>
    <x v="1958"/>
    <x v="1"/>
  </r>
  <r>
    <x v="49"/>
    <x v="2"/>
    <x v="0"/>
    <x v="6"/>
    <x v="8"/>
    <x v="1918"/>
    <x v="1945"/>
    <x v="1940"/>
    <x v="1"/>
    <x v="1"/>
    <x v="1"/>
    <x v="1959"/>
    <x v="1"/>
  </r>
  <r>
    <x v="115"/>
    <x v="5"/>
    <x v="2"/>
    <x v="1"/>
    <x v="4"/>
    <x v="1919"/>
    <x v="1946"/>
    <x v="1941"/>
    <x v="1"/>
    <x v="1"/>
    <x v="1"/>
    <x v="1960"/>
    <x v="1"/>
  </r>
  <r>
    <x v="50"/>
    <x v="5"/>
    <x v="0"/>
    <x v="6"/>
    <x v="2"/>
    <x v="1920"/>
    <x v="1947"/>
    <x v="1942"/>
    <x v="1"/>
    <x v="1"/>
    <x v="1"/>
    <x v="1961"/>
    <x v="1"/>
  </r>
  <r>
    <x v="11"/>
    <x v="6"/>
    <x v="3"/>
    <x v="6"/>
    <x v="7"/>
    <x v="1921"/>
    <x v="1948"/>
    <x v="1943"/>
    <x v="1"/>
    <x v="1"/>
    <x v="1"/>
    <x v="1962"/>
    <x v="1"/>
  </r>
  <r>
    <x v="86"/>
    <x v="2"/>
    <x v="1"/>
    <x v="0"/>
    <x v="7"/>
    <x v="1922"/>
    <x v="1949"/>
    <x v="1944"/>
    <x v="1"/>
    <x v="1"/>
    <x v="1"/>
    <x v="1963"/>
    <x v="1"/>
  </r>
  <r>
    <x v="154"/>
    <x v="5"/>
    <x v="0"/>
    <x v="0"/>
    <x v="9"/>
    <x v="1923"/>
    <x v="1950"/>
    <x v="1945"/>
    <x v="1"/>
    <x v="1"/>
    <x v="1"/>
    <x v="1964"/>
    <x v="1"/>
  </r>
  <r>
    <x v="133"/>
    <x v="3"/>
    <x v="0"/>
    <x v="0"/>
    <x v="6"/>
    <x v="1756"/>
    <x v="1951"/>
    <x v="1946"/>
    <x v="1"/>
    <x v="1"/>
    <x v="1"/>
    <x v="1965"/>
    <x v="1"/>
  </r>
  <r>
    <x v="151"/>
    <x v="6"/>
    <x v="3"/>
    <x v="4"/>
    <x v="9"/>
    <x v="1924"/>
    <x v="1952"/>
    <x v="1947"/>
    <x v="1"/>
    <x v="1"/>
    <x v="1"/>
    <x v="1966"/>
    <x v="1"/>
  </r>
  <r>
    <x v="124"/>
    <x v="0"/>
    <x v="0"/>
    <x v="4"/>
    <x v="6"/>
    <x v="1925"/>
    <x v="1953"/>
    <x v="1190"/>
    <x v="1"/>
    <x v="1"/>
    <x v="1"/>
    <x v="1967"/>
    <x v="1"/>
  </r>
  <r>
    <x v="44"/>
    <x v="5"/>
    <x v="2"/>
    <x v="2"/>
    <x v="1"/>
    <x v="1926"/>
    <x v="1954"/>
    <x v="1948"/>
    <x v="1"/>
    <x v="1"/>
    <x v="1"/>
    <x v="1968"/>
    <x v="1"/>
  </r>
  <r>
    <x v="128"/>
    <x v="6"/>
    <x v="0"/>
    <x v="2"/>
    <x v="2"/>
    <x v="1927"/>
    <x v="1955"/>
    <x v="1949"/>
    <x v="1"/>
    <x v="1"/>
    <x v="1"/>
    <x v="1969"/>
    <x v="1"/>
  </r>
  <r>
    <x v="26"/>
    <x v="3"/>
    <x v="3"/>
    <x v="3"/>
    <x v="1"/>
    <x v="1928"/>
    <x v="1956"/>
    <x v="1950"/>
    <x v="1"/>
    <x v="1"/>
    <x v="1"/>
    <x v="1970"/>
    <x v="1"/>
  </r>
  <r>
    <x v="16"/>
    <x v="0"/>
    <x v="0"/>
    <x v="6"/>
    <x v="5"/>
    <x v="1929"/>
    <x v="1957"/>
    <x v="1951"/>
    <x v="1"/>
    <x v="1"/>
    <x v="1"/>
    <x v="1971"/>
    <x v="1"/>
  </r>
  <r>
    <x v="147"/>
    <x v="0"/>
    <x v="1"/>
    <x v="6"/>
    <x v="6"/>
    <x v="1930"/>
    <x v="1958"/>
    <x v="1952"/>
    <x v="1"/>
    <x v="1"/>
    <x v="1"/>
    <x v="1972"/>
    <x v="1"/>
  </r>
  <r>
    <x v="168"/>
    <x v="4"/>
    <x v="0"/>
    <x v="6"/>
    <x v="4"/>
    <x v="1931"/>
    <x v="1959"/>
    <x v="1953"/>
    <x v="1"/>
    <x v="1"/>
    <x v="1"/>
    <x v="1973"/>
    <x v="1"/>
  </r>
  <r>
    <x v="6"/>
    <x v="0"/>
    <x v="1"/>
    <x v="3"/>
    <x v="0"/>
    <x v="672"/>
    <x v="1960"/>
    <x v="1954"/>
    <x v="1"/>
    <x v="1"/>
    <x v="1"/>
    <x v="1974"/>
    <x v="1"/>
  </r>
  <r>
    <x v="95"/>
    <x v="5"/>
    <x v="2"/>
    <x v="1"/>
    <x v="4"/>
    <x v="1932"/>
    <x v="1961"/>
    <x v="1955"/>
    <x v="1"/>
    <x v="1"/>
    <x v="1"/>
    <x v="1975"/>
    <x v="1"/>
  </r>
  <r>
    <x v="132"/>
    <x v="5"/>
    <x v="3"/>
    <x v="4"/>
    <x v="0"/>
    <x v="1933"/>
    <x v="1962"/>
    <x v="1956"/>
    <x v="1"/>
    <x v="1"/>
    <x v="1"/>
    <x v="1976"/>
    <x v="1"/>
  </r>
  <r>
    <x v="76"/>
    <x v="4"/>
    <x v="3"/>
    <x v="3"/>
    <x v="5"/>
    <x v="1934"/>
    <x v="1963"/>
    <x v="1957"/>
    <x v="1"/>
    <x v="1"/>
    <x v="1"/>
    <x v="1977"/>
    <x v="1"/>
  </r>
  <r>
    <x v="40"/>
    <x v="5"/>
    <x v="3"/>
    <x v="3"/>
    <x v="9"/>
    <x v="1935"/>
    <x v="1964"/>
    <x v="1958"/>
    <x v="1"/>
    <x v="1"/>
    <x v="1"/>
    <x v="1978"/>
    <x v="1"/>
  </r>
  <r>
    <x v="157"/>
    <x v="0"/>
    <x v="1"/>
    <x v="6"/>
    <x v="2"/>
    <x v="1936"/>
    <x v="1965"/>
    <x v="1959"/>
    <x v="1"/>
    <x v="1"/>
    <x v="1"/>
    <x v="1979"/>
    <x v="1"/>
  </r>
  <r>
    <x v="107"/>
    <x v="0"/>
    <x v="0"/>
    <x v="7"/>
    <x v="0"/>
    <x v="1937"/>
    <x v="1966"/>
    <x v="1960"/>
    <x v="1"/>
    <x v="1"/>
    <x v="1"/>
    <x v="1980"/>
    <x v="1"/>
  </r>
  <r>
    <x v="1"/>
    <x v="1"/>
    <x v="3"/>
    <x v="3"/>
    <x v="4"/>
    <x v="1938"/>
    <x v="1967"/>
    <x v="1961"/>
    <x v="1"/>
    <x v="1"/>
    <x v="1"/>
    <x v="1981"/>
    <x v="1"/>
  </r>
  <r>
    <x v="29"/>
    <x v="0"/>
    <x v="0"/>
    <x v="6"/>
    <x v="9"/>
    <x v="1939"/>
    <x v="1968"/>
    <x v="1962"/>
    <x v="1"/>
    <x v="1"/>
    <x v="1"/>
    <x v="1982"/>
    <x v="1"/>
  </r>
  <r>
    <x v="172"/>
    <x v="0"/>
    <x v="2"/>
    <x v="1"/>
    <x v="9"/>
    <x v="1940"/>
    <x v="1969"/>
    <x v="1963"/>
    <x v="1"/>
    <x v="1"/>
    <x v="1"/>
    <x v="1983"/>
    <x v="1"/>
  </r>
  <r>
    <x v="147"/>
    <x v="3"/>
    <x v="3"/>
    <x v="3"/>
    <x v="6"/>
    <x v="1941"/>
    <x v="1970"/>
    <x v="1964"/>
    <x v="1"/>
    <x v="1"/>
    <x v="1"/>
    <x v="1984"/>
    <x v="1"/>
  </r>
  <r>
    <x v="108"/>
    <x v="5"/>
    <x v="3"/>
    <x v="5"/>
    <x v="6"/>
    <x v="1942"/>
    <x v="1971"/>
    <x v="1965"/>
    <x v="1"/>
    <x v="1"/>
    <x v="1"/>
    <x v="1985"/>
    <x v="1"/>
  </r>
  <r>
    <x v="138"/>
    <x v="2"/>
    <x v="2"/>
    <x v="5"/>
    <x v="1"/>
    <x v="1943"/>
    <x v="1972"/>
    <x v="1966"/>
    <x v="1"/>
    <x v="1"/>
    <x v="1"/>
    <x v="1986"/>
    <x v="1"/>
  </r>
  <r>
    <x v="30"/>
    <x v="3"/>
    <x v="3"/>
    <x v="5"/>
    <x v="6"/>
    <x v="1944"/>
    <x v="1973"/>
    <x v="1967"/>
    <x v="1"/>
    <x v="1"/>
    <x v="1"/>
    <x v="1987"/>
    <x v="1"/>
  </r>
  <r>
    <x v="171"/>
    <x v="3"/>
    <x v="0"/>
    <x v="2"/>
    <x v="5"/>
    <x v="1945"/>
    <x v="1974"/>
    <x v="1968"/>
    <x v="1"/>
    <x v="1"/>
    <x v="1"/>
    <x v="1988"/>
    <x v="1"/>
  </r>
  <r>
    <x v="54"/>
    <x v="4"/>
    <x v="3"/>
    <x v="0"/>
    <x v="8"/>
    <x v="1660"/>
    <x v="1975"/>
    <x v="1969"/>
    <x v="1"/>
    <x v="1"/>
    <x v="1"/>
    <x v="1989"/>
    <x v="1"/>
  </r>
  <r>
    <x v="176"/>
    <x v="0"/>
    <x v="1"/>
    <x v="6"/>
    <x v="8"/>
    <x v="1946"/>
    <x v="1976"/>
    <x v="1970"/>
    <x v="1"/>
    <x v="1"/>
    <x v="1"/>
    <x v="1990"/>
    <x v="1"/>
  </r>
  <r>
    <x v="169"/>
    <x v="0"/>
    <x v="2"/>
    <x v="6"/>
    <x v="5"/>
    <x v="1947"/>
    <x v="1977"/>
    <x v="1971"/>
    <x v="1"/>
    <x v="1"/>
    <x v="1"/>
    <x v="1991"/>
    <x v="1"/>
  </r>
  <r>
    <x v="111"/>
    <x v="4"/>
    <x v="0"/>
    <x v="2"/>
    <x v="0"/>
    <x v="1948"/>
    <x v="1978"/>
    <x v="1972"/>
    <x v="1"/>
    <x v="1"/>
    <x v="1"/>
    <x v="1992"/>
    <x v="1"/>
  </r>
  <r>
    <x v="158"/>
    <x v="3"/>
    <x v="2"/>
    <x v="4"/>
    <x v="8"/>
    <x v="1949"/>
    <x v="1979"/>
    <x v="1973"/>
    <x v="1"/>
    <x v="1"/>
    <x v="1"/>
    <x v="1993"/>
    <x v="1"/>
  </r>
  <r>
    <x v="131"/>
    <x v="2"/>
    <x v="1"/>
    <x v="6"/>
    <x v="5"/>
    <x v="1950"/>
    <x v="1980"/>
    <x v="1974"/>
    <x v="1"/>
    <x v="1"/>
    <x v="1"/>
    <x v="1994"/>
    <x v="1"/>
  </r>
  <r>
    <x v="174"/>
    <x v="5"/>
    <x v="3"/>
    <x v="3"/>
    <x v="9"/>
    <x v="1951"/>
    <x v="1981"/>
    <x v="1975"/>
    <x v="1"/>
    <x v="1"/>
    <x v="1"/>
    <x v="1995"/>
    <x v="1"/>
  </r>
  <r>
    <x v="140"/>
    <x v="5"/>
    <x v="1"/>
    <x v="2"/>
    <x v="8"/>
    <x v="1952"/>
    <x v="1982"/>
    <x v="1976"/>
    <x v="1"/>
    <x v="1"/>
    <x v="1"/>
    <x v="1996"/>
    <x v="1"/>
  </r>
  <r>
    <x v="17"/>
    <x v="1"/>
    <x v="3"/>
    <x v="5"/>
    <x v="3"/>
    <x v="1953"/>
    <x v="1983"/>
    <x v="1977"/>
    <x v="1"/>
    <x v="1"/>
    <x v="1"/>
    <x v="1997"/>
    <x v="1"/>
  </r>
  <r>
    <x v="119"/>
    <x v="5"/>
    <x v="2"/>
    <x v="4"/>
    <x v="7"/>
    <x v="1954"/>
    <x v="1984"/>
    <x v="1978"/>
    <x v="1"/>
    <x v="1"/>
    <x v="1"/>
    <x v="1998"/>
    <x v="1"/>
  </r>
  <r>
    <x v="120"/>
    <x v="3"/>
    <x v="1"/>
    <x v="4"/>
    <x v="7"/>
    <x v="1955"/>
    <x v="1985"/>
    <x v="1979"/>
    <x v="1"/>
    <x v="1"/>
    <x v="1"/>
    <x v="199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1" firstHeaderRow="1" firstDataRow="1" firstDataCol="1"/>
  <pivotFields count="13">
    <pivotField compact="0" numFmtId="58" showAll="0"/>
    <pivotField axis="axisRow" compact="0" sortType="descending" showAll="0">
      <items count="8">
        <item x="1"/>
        <item x="4"/>
        <item x="5"/>
        <item x="3"/>
        <item x="6"/>
        <item x="2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1"/>
        <item x="0"/>
        <item x="3"/>
        <item x="2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numFmtId="9" showAll="0"/>
    <pivotField compact="0" showAll="0"/>
  </pivotFields>
  <rowFields count="1">
    <field x="1"/>
  </rowFields>
  <rowItems count="8">
    <i>
      <x v="5"/>
    </i>
    <i>
      <x v="2"/>
    </i>
    <i>
      <x v="3"/>
    </i>
    <i>
      <x v="6"/>
    </i>
    <i>
      <x/>
    </i>
    <i>
      <x v="1"/>
    </i>
    <i>
      <x v="4"/>
    </i>
    <i t="grand">
      <x/>
    </i>
  </rowItems>
  <colItems count="1">
    <i/>
  </colItems>
  <dataFields count="1">
    <dataField name="Sum of Sales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2001" totalsRowShown="0">
  <tableColumns count="13">
    <tableColumn id="1" name="Order_Date" dataDxfId="0"/>
    <tableColumn id="2" name="Product"/>
    <tableColumn id="3" name="Region"/>
    <tableColumn id="4" name="Salesperson"/>
    <tableColumn id="5" name="Quantity"/>
    <tableColumn id="6" name="Price_per_Unit"/>
    <tableColumn id="7" name="Sales"/>
    <tableColumn id="8" name="Target"/>
    <tableColumn id="9" name="Total Sales"/>
    <tableColumn id="10" name="Avarage"/>
    <tableColumn id="11" name="Total orders count"/>
    <tableColumn id="12" name="achivement">
      <calculatedColumnFormula>G2/H2</calculatedColumnFormula>
    </tableColumn>
    <tableColumn id="13" name="averag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Q28" sqref="Q28"/>
    </sheetView>
  </sheetViews>
  <sheetFormatPr defaultColWidth="8.88888888888889" defaultRowHeight="14.4" outlineLevelCol="1"/>
  <cols>
    <col min="1" max="1" width="12"/>
    <col min="2" max="3" width="12.6666666666667"/>
  </cols>
  <sheetData>
    <row r="3" spans="1:2">
      <c r="A3" t="s">
        <v>0</v>
      </c>
      <c r="B3" t="s">
        <v>1</v>
      </c>
    </row>
    <row r="4" spans="1:2">
      <c r="A4" t="s">
        <v>2</v>
      </c>
      <c r="B4">
        <v>44748115</v>
      </c>
    </row>
    <row r="5" spans="1:2">
      <c r="A5" t="s">
        <v>3</v>
      </c>
      <c r="B5">
        <v>43283988</v>
      </c>
    </row>
    <row r="6" spans="1:2">
      <c r="A6" t="s">
        <v>4</v>
      </c>
      <c r="B6">
        <v>42565272</v>
      </c>
    </row>
    <row r="7" spans="1:2">
      <c r="A7" t="s">
        <v>5</v>
      </c>
      <c r="B7">
        <v>40091807</v>
      </c>
    </row>
    <row r="8" spans="1:2">
      <c r="A8" t="s">
        <v>6</v>
      </c>
      <c r="B8">
        <v>39446616</v>
      </c>
    </row>
    <row r="9" spans="1:2">
      <c r="A9" t="s">
        <v>7</v>
      </c>
      <c r="B9">
        <v>36961583</v>
      </c>
    </row>
    <row r="10" spans="1:2">
      <c r="A10" t="s">
        <v>8</v>
      </c>
      <c r="B10">
        <v>34112611</v>
      </c>
    </row>
    <row r="11" spans="1:2">
      <c r="A11" t="s">
        <v>9</v>
      </c>
      <c r="B11">
        <v>281209992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"/>
  <sheetViews>
    <sheetView tabSelected="1" zoomScaleSheetLayoutView="60" workbookViewId="0">
      <selection activeCell="J17" sqref="A2:M2001"/>
    </sheetView>
  </sheetViews>
  <sheetFormatPr defaultColWidth="10" defaultRowHeight="14.4"/>
  <cols>
    <col min="1" max="1" width="11.5555555555556" customWidth="1"/>
    <col min="2" max="2" width="12" customWidth="1"/>
    <col min="3" max="3" width="7.44444444444444" customWidth="1"/>
    <col min="4" max="4" width="11.8888888888889" customWidth="1"/>
    <col min="5" max="5" width="9" customWidth="1"/>
    <col min="6" max="6" width="14.6666666666667" customWidth="1"/>
    <col min="7" max="8" width="7.66666666666667" customWidth="1"/>
    <col min="9" max="9" width="10.6666666666667" customWidth="1"/>
    <col min="10" max="10" width="11.7777777777778" customWidth="1"/>
    <col min="11" max="11" width="17.8888888888889" customWidth="1"/>
    <col min="12" max="12" width="11.7777777777778" customWidth="1"/>
    <col min="13" max="13" width="8.33333333333333" customWidth="1"/>
  </cols>
  <sheetData>
    <row r="1" s="1" customFormat="1" spans="1:13">
      <c r="A1" s="2" t="s">
        <v>10</v>
      </c>
      <c r="B1" s="2" t="s">
        <v>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</row>
    <row r="2" spans="1:13">
      <c r="A2" s="3">
        <v>45772</v>
      </c>
      <c r="B2" s="4" t="s">
        <v>5</v>
      </c>
      <c r="C2" s="4" t="s">
        <v>22</v>
      </c>
      <c r="D2" s="4" t="s">
        <v>23</v>
      </c>
      <c r="E2" s="4">
        <v>6</v>
      </c>
      <c r="F2" s="4">
        <v>11171</v>
      </c>
      <c r="G2" s="4">
        <v>67026</v>
      </c>
      <c r="H2" s="4">
        <v>44644</v>
      </c>
      <c r="I2" s="5">
        <f>SUM(G:G)</f>
        <v>281209992</v>
      </c>
      <c r="J2" s="4">
        <f>AVERAGE(G:G)</f>
        <v>140604.996</v>
      </c>
      <c r="K2" s="4">
        <f>COUNT(G:G)</f>
        <v>2000</v>
      </c>
      <c r="L2" s="6">
        <f>G2/H2</f>
        <v>1.50134396559448</v>
      </c>
      <c r="M2" s="6">
        <f>AVERAGE(L2:L2001)</f>
        <v>2.91692859416682</v>
      </c>
    </row>
    <row r="3" spans="1:13">
      <c r="A3" s="3">
        <v>45719</v>
      </c>
      <c r="B3" s="4" t="s">
        <v>6</v>
      </c>
      <c r="C3" s="4" t="s">
        <v>24</v>
      </c>
      <c r="D3" s="4" t="s">
        <v>25</v>
      </c>
      <c r="E3" s="4">
        <v>2</v>
      </c>
      <c r="F3" s="4">
        <v>14317</v>
      </c>
      <c r="G3" s="4">
        <v>28634</v>
      </c>
      <c r="H3" s="4">
        <v>4069</v>
      </c>
      <c r="I3" s="4"/>
      <c r="J3" s="4"/>
      <c r="K3" s="4"/>
      <c r="L3" s="6">
        <f t="shared" ref="L3:L66" si="0">G3/H3</f>
        <v>7.03710985500123</v>
      </c>
      <c r="M3" s="4"/>
    </row>
    <row r="4" spans="1:13">
      <c r="A4" s="3">
        <v>45820</v>
      </c>
      <c r="B4" s="4" t="s">
        <v>2</v>
      </c>
      <c r="C4" s="4" t="s">
        <v>24</v>
      </c>
      <c r="D4" s="4" t="s">
        <v>25</v>
      </c>
      <c r="E4" s="4">
        <v>4</v>
      </c>
      <c r="F4" s="4">
        <v>43336</v>
      </c>
      <c r="G4" s="4">
        <v>173344</v>
      </c>
      <c r="H4" s="4">
        <v>195631</v>
      </c>
      <c r="I4" s="4"/>
      <c r="J4" s="4"/>
      <c r="K4" s="4"/>
      <c r="L4" s="6">
        <f t="shared" si="0"/>
        <v>0.886076337594757</v>
      </c>
      <c r="M4" s="4"/>
    </row>
    <row r="5" spans="1:13">
      <c r="A5" s="3">
        <v>45710</v>
      </c>
      <c r="B5" s="4" t="s">
        <v>4</v>
      </c>
      <c r="C5" s="4" t="s">
        <v>26</v>
      </c>
      <c r="D5" s="4" t="s">
        <v>27</v>
      </c>
      <c r="E5" s="4">
        <v>9</v>
      </c>
      <c r="F5" s="4">
        <v>8120</v>
      </c>
      <c r="G5" s="4">
        <v>73080</v>
      </c>
      <c r="H5" s="4">
        <v>24261</v>
      </c>
      <c r="I5" s="4"/>
      <c r="J5" s="4"/>
      <c r="K5" s="4"/>
      <c r="L5" s="6">
        <f t="shared" si="0"/>
        <v>3.01224186966737</v>
      </c>
      <c r="M5" s="4"/>
    </row>
    <row r="6" spans="1:13">
      <c r="A6" s="3">
        <v>45670</v>
      </c>
      <c r="B6" s="4" t="s">
        <v>2</v>
      </c>
      <c r="C6" s="4" t="s">
        <v>28</v>
      </c>
      <c r="D6" s="4" t="s">
        <v>23</v>
      </c>
      <c r="E6" s="4">
        <v>5</v>
      </c>
      <c r="F6" s="4">
        <v>48261</v>
      </c>
      <c r="G6" s="4">
        <v>241305</v>
      </c>
      <c r="H6" s="4">
        <v>130021</v>
      </c>
      <c r="I6" s="4"/>
      <c r="J6" s="4"/>
      <c r="K6" s="4"/>
      <c r="L6" s="6">
        <f t="shared" si="0"/>
        <v>1.85589250967151</v>
      </c>
      <c r="M6" s="4"/>
    </row>
    <row r="7" spans="1:13">
      <c r="A7" s="3">
        <v>45725</v>
      </c>
      <c r="B7" s="4" t="s">
        <v>6</v>
      </c>
      <c r="C7" s="4" t="s">
        <v>28</v>
      </c>
      <c r="D7" s="4" t="s">
        <v>29</v>
      </c>
      <c r="E7" s="4">
        <v>9</v>
      </c>
      <c r="F7" s="4">
        <v>13172</v>
      </c>
      <c r="G7" s="4">
        <v>118548</v>
      </c>
      <c r="H7" s="4">
        <v>82465</v>
      </c>
      <c r="I7" s="4"/>
      <c r="J7" s="4"/>
      <c r="K7" s="4"/>
      <c r="L7" s="6">
        <f t="shared" si="0"/>
        <v>1.43755532650215</v>
      </c>
      <c r="M7" s="4"/>
    </row>
    <row r="8" spans="1:13">
      <c r="A8" s="3">
        <v>45784</v>
      </c>
      <c r="B8" s="4" t="s">
        <v>7</v>
      </c>
      <c r="C8" s="4" t="s">
        <v>24</v>
      </c>
      <c r="D8" s="4" t="s">
        <v>27</v>
      </c>
      <c r="E8" s="4">
        <v>7</v>
      </c>
      <c r="F8" s="4">
        <v>16397</v>
      </c>
      <c r="G8" s="4">
        <v>114779</v>
      </c>
      <c r="H8" s="4">
        <v>71294</v>
      </c>
      <c r="I8" s="4"/>
      <c r="J8" s="4"/>
      <c r="K8" s="4"/>
      <c r="L8" s="6">
        <f t="shared" si="0"/>
        <v>1.60993912531209</v>
      </c>
      <c r="M8" s="4"/>
    </row>
    <row r="9" spans="1:13">
      <c r="A9" s="3">
        <v>45686</v>
      </c>
      <c r="B9" s="4" t="s">
        <v>3</v>
      </c>
      <c r="C9" s="4" t="s">
        <v>24</v>
      </c>
      <c r="D9" s="4" t="s">
        <v>30</v>
      </c>
      <c r="E9" s="4">
        <v>8</v>
      </c>
      <c r="F9" s="4">
        <v>28986</v>
      </c>
      <c r="G9" s="4">
        <v>231888</v>
      </c>
      <c r="H9" s="4">
        <v>66896</v>
      </c>
      <c r="I9" s="4"/>
      <c r="J9" s="4"/>
      <c r="K9" s="4"/>
      <c r="L9" s="6">
        <f t="shared" si="0"/>
        <v>3.46639559913896</v>
      </c>
      <c r="M9" s="4"/>
    </row>
    <row r="10" spans="1:13">
      <c r="A10" s="3">
        <v>45778</v>
      </c>
      <c r="B10" s="4" t="s">
        <v>3</v>
      </c>
      <c r="C10" s="4" t="s">
        <v>26</v>
      </c>
      <c r="D10" s="4" t="s">
        <v>25</v>
      </c>
      <c r="E10" s="4">
        <v>5</v>
      </c>
      <c r="F10" s="4">
        <v>17759</v>
      </c>
      <c r="G10" s="4">
        <v>88795</v>
      </c>
      <c r="H10" s="4">
        <v>60426</v>
      </c>
      <c r="I10" s="4"/>
      <c r="J10" s="4"/>
      <c r="K10" s="4"/>
      <c r="L10" s="6">
        <f t="shared" si="0"/>
        <v>1.46948333498825</v>
      </c>
      <c r="M10" s="4"/>
    </row>
    <row r="11" spans="1:13">
      <c r="A11" s="3">
        <v>45797</v>
      </c>
      <c r="B11" s="4" t="s">
        <v>4</v>
      </c>
      <c r="C11" s="4" t="s">
        <v>26</v>
      </c>
      <c r="D11" s="4" t="s">
        <v>27</v>
      </c>
      <c r="E11" s="4">
        <v>8</v>
      </c>
      <c r="F11" s="4">
        <v>40930</v>
      </c>
      <c r="G11" s="4">
        <v>327440</v>
      </c>
      <c r="H11" s="4">
        <v>46596</v>
      </c>
      <c r="I11" s="4"/>
      <c r="J11" s="4"/>
      <c r="K11" s="4"/>
      <c r="L11" s="6">
        <f t="shared" si="0"/>
        <v>7.02721263627779</v>
      </c>
      <c r="M11" s="4"/>
    </row>
    <row r="12" spans="1:13">
      <c r="A12" s="3">
        <v>45836</v>
      </c>
      <c r="B12" s="4" t="s">
        <v>8</v>
      </c>
      <c r="C12" s="4" t="s">
        <v>22</v>
      </c>
      <c r="D12" s="4" t="s">
        <v>31</v>
      </c>
      <c r="E12" s="4">
        <v>7</v>
      </c>
      <c r="F12" s="4">
        <v>41296</v>
      </c>
      <c r="G12" s="4">
        <v>289072</v>
      </c>
      <c r="H12" s="4">
        <v>70503</v>
      </c>
      <c r="I12" s="4"/>
      <c r="J12" s="4"/>
      <c r="K12" s="4"/>
      <c r="L12" s="6">
        <f t="shared" si="0"/>
        <v>4.1001375827979</v>
      </c>
      <c r="M12" s="4"/>
    </row>
    <row r="13" spans="1:13">
      <c r="A13" s="3">
        <v>45825</v>
      </c>
      <c r="B13" s="4" t="s">
        <v>7</v>
      </c>
      <c r="C13" s="4" t="s">
        <v>22</v>
      </c>
      <c r="D13" s="4" t="s">
        <v>32</v>
      </c>
      <c r="E13" s="4">
        <v>10</v>
      </c>
      <c r="F13" s="4">
        <v>24825</v>
      </c>
      <c r="G13" s="4">
        <v>248250</v>
      </c>
      <c r="H13" s="4">
        <v>48563</v>
      </c>
      <c r="I13" s="4"/>
      <c r="J13" s="4"/>
      <c r="K13" s="4"/>
      <c r="L13" s="6">
        <f t="shared" si="0"/>
        <v>5.1119164796244</v>
      </c>
      <c r="M13" s="4"/>
    </row>
    <row r="14" spans="1:13">
      <c r="A14" s="3">
        <v>45668</v>
      </c>
      <c r="B14" s="4" t="s">
        <v>8</v>
      </c>
      <c r="C14" s="4" t="s">
        <v>28</v>
      </c>
      <c r="D14" s="4" t="s">
        <v>29</v>
      </c>
      <c r="E14" s="4">
        <v>2</v>
      </c>
      <c r="F14" s="4">
        <v>25333</v>
      </c>
      <c r="G14" s="4">
        <v>50666</v>
      </c>
      <c r="H14" s="4">
        <v>41876</v>
      </c>
      <c r="I14" s="4"/>
      <c r="J14" s="4"/>
      <c r="K14" s="4"/>
      <c r="L14" s="6">
        <f t="shared" si="0"/>
        <v>1.20990543509409</v>
      </c>
      <c r="M14" s="4"/>
    </row>
    <row r="15" spans="1:13">
      <c r="A15" s="3">
        <v>45816</v>
      </c>
      <c r="B15" s="4" t="s">
        <v>3</v>
      </c>
      <c r="C15" s="4" t="s">
        <v>22</v>
      </c>
      <c r="D15" s="4" t="s">
        <v>30</v>
      </c>
      <c r="E15" s="4">
        <v>5</v>
      </c>
      <c r="F15" s="4">
        <v>6872</v>
      </c>
      <c r="G15" s="4">
        <v>34360</v>
      </c>
      <c r="H15" s="4">
        <v>196960</v>
      </c>
      <c r="I15" s="4"/>
      <c r="J15" s="4"/>
      <c r="K15" s="4"/>
      <c r="L15" s="6">
        <f t="shared" si="0"/>
        <v>0.174451665312754</v>
      </c>
      <c r="M15" s="4"/>
    </row>
    <row r="16" spans="1:13">
      <c r="A16" s="3">
        <v>45815</v>
      </c>
      <c r="B16" s="4" t="s">
        <v>2</v>
      </c>
      <c r="C16" s="4" t="s">
        <v>26</v>
      </c>
      <c r="D16" s="4" t="s">
        <v>23</v>
      </c>
      <c r="E16" s="4">
        <v>7</v>
      </c>
      <c r="F16" s="4">
        <v>49373</v>
      </c>
      <c r="G16" s="4">
        <v>345611</v>
      </c>
      <c r="H16" s="4">
        <v>34387</v>
      </c>
      <c r="I16" s="4"/>
      <c r="J16" s="4"/>
      <c r="K16" s="4"/>
      <c r="L16" s="6">
        <f t="shared" si="0"/>
        <v>10.0506295983947</v>
      </c>
      <c r="M16" s="4"/>
    </row>
    <row r="17" spans="1:13">
      <c r="A17" s="3">
        <v>45799</v>
      </c>
      <c r="B17" s="4" t="s">
        <v>4</v>
      </c>
      <c r="C17" s="4" t="s">
        <v>22</v>
      </c>
      <c r="D17" s="4" t="s">
        <v>27</v>
      </c>
      <c r="E17" s="4">
        <v>1</v>
      </c>
      <c r="F17" s="4">
        <v>18153</v>
      </c>
      <c r="G17" s="4">
        <v>18153</v>
      </c>
      <c r="H17" s="4">
        <v>102440</v>
      </c>
      <c r="I17" s="4"/>
      <c r="J17" s="4"/>
      <c r="K17" s="4"/>
      <c r="L17" s="6">
        <f t="shared" si="0"/>
        <v>0.177206169465053</v>
      </c>
      <c r="M17" s="4"/>
    </row>
    <row r="18" spans="1:13">
      <c r="A18" s="3">
        <v>45765</v>
      </c>
      <c r="B18" s="4" t="s">
        <v>4</v>
      </c>
      <c r="C18" s="4" t="s">
        <v>28</v>
      </c>
      <c r="D18" s="4" t="s">
        <v>32</v>
      </c>
      <c r="E18" s="4">
        <v>6</v>
      </c>
      <c r="F18" s="4">
        <v>16873</v>
      </c>
      <c r="G18" s="4">
        <v>101238</v>
      </c>
      <c r="H18" s="4">
        <v>17940</v>
      </c>
      <c r="I18" s="4"/>
      <c r="J18" s="4"/>
      <c r="K18" s="4"/>
      <c r="L18" s="6">
        <f t="shared" si="0"/>
        <v>5.64314381270903</v>
      </c>
      <c r="M18" s="4"/>
    </row>
    <row r="19" spans="1:13">
      <c r="A19" s="3">
        <v>45688</v>
      </c>
      <c r="B19" s="4" t="s">
        <v>3</v>
      </c>
      <c r="C19" s="4" t="s">
        <v>24</v>
      </c>
      <c r="D19" s="4" t="s">
        <v>27</v>
      </c>
      <c r="E19" s="4">
        <v>4</v>
      </c>
      <c r="F19" s="4">
        <v>46493</v>
      </c>
      <c r="G19" s="4">
        <v>185972</v>
      </c>
      <c r="H19" s="4">
        <v>180015</v>
      </c>
      <c r="I19" s="4"/>
      <c r="J19" s="4"/>
      <c r="K19" s="4"/>
      <c r="L19" s="6">
        <f t="shared" si="0"/>
        <v>1.03309168680388</v>
      </c>
      <c r="M19" s="4"/>
    </row>
    <row r="20" spans="1:13">
      <c r="A20" s="3">
        <v>45777</v>
      </c>
      <c r="B20" s="4" t="s">
        <v>4</v>
      </c>
      <c r="C20" s="4" t="s">
        <v>22</v>
      </c>
      <c r="D20" s="4" t="s">
        <v>30</v>
      </c>
      <c r="E20" s="4">
        <v>10</v>
      </c>
      <c r="F20" s="4">
        <v>904</v>
      </c>
      <c r="G20" s="4">
        <v>9040</v>
      </c>
      <c r="H20" s="4">
        <v>122808</v>
      </c>
      <c r="I20" s="4"/>
      <c r="J20" s="4"/>
      <c r="K20" s="4"/>
      <c r="L20" s="6">
        <f t="shared" si="0"/>
        <v>0.0736108396847111</v>
      </c>
      <c r="M20" s="4"/>
    </row>
    <row r="21" spans="1:13">
      <c r="A21" s="3">
        <v>45765</v>
      </c>
      <c r="B21" s="4" t="s">
        <v>2</v>
      </c>
      <c r="C21" s="4" t="s">
        <v>24</v>
      </c>
      <c r="D21" s="4" t="s">
        <v>30</v>
      </c>
      <c r="E21" s="4">
        <v>4</v>
      </c>
      <c r="F21" s="4">
        <v>7716</v>
      </c>
      <c r="G21" s="4">
        <v>30864</v>
      </c>
      <c r="H21" s="4">
        <v>59766</v>
      </c>
      <c r="I21" s="4"/>
      <c r="J21" s="4"/>
      <c r="K21" s="4"/>
      <c r="L21" s="6">
        <f t="shared" si="0"/>
        <v>0.516414014657163</v>
      </c>
      <c r="M21" s="4"/>
    </row>
    <row r="22" spans="1:13">
      <c r="A22" s="3">
        <v>45688</v>
      </c>
      <c r="B22" s="4" t="s">
        <v>4</v>
      </c>
      <c r="C22" s="4" t="s">
        <v>22</v>
      </c>
      <c r="D22" s="4" t="s">
        <v>29</v>
      </c>
      <c r="E22" s="4">
        <v>7</v>
      </c>
      <c r="F22" s="4">
        <v>29957</v>
      </c>
      <c r="G22" s="4">
        <v>209699</v>
      </c>
      <c r="H22" s="4">
        <v>108985</v>
      </c>
      <c r="I22" s="4"/>
      <c r="J22" s="4"/>
      <c r="K22" s="4"/>
      <c r="L22" s="6">
        <f t="shared" si="0"/>
        <v>1.924108822315</v>
      </c>
      <c r="M22" s="4"/>
    </row>
    <row r="23" spans="1:13">
      <c r="A23" s="3">
        <v>45802</v>
      </c>
      <c r="B23" s="4" t="s">
        <v>3</v>
      </c>
      <c r="C23" s="4" t="s">
        <v>22</v>
      </c>
      <c r="D23" s="4" t="s">
        <v>29</v>
      </c>
      <c r="E23" s="4">
        <v>8</v>
      </c>
      <c r="F23" s="4">
        <v>44950</v>
      </c>
      <c r="G23" s="4">
        <v>359600</v>
      </c>
      <c r="H23" s="4">
        <v>6261</v>
      </c>
      <c r="I23" s="4"/>
      <c r="J23" s="4"/>
      <c r="K23" s="4"/>
      <c r="L23" s="6">
        <f t="shared" si="0"/>
        <v>57.4349145503913</v>
      </c>
      <c r="M23" s="4"/>
    </row>
    <row r="24" spans="1:13">
      <c r="A24" s="3">
        <v>45704</v>
      </c>
      <c r="B24" s="4" t="s">
        <v>3</v>
      </c>
      <c r="C24" s="4" t="s">
        <v>28</v>
      </c>
      <c r="D24" s="4" t="s">
        <v>25</v>
      </c>
      <c r="E24" s="4">
        <v>2</v>
      </c>
      <c r="F24" s="4">
        <v>36815</v>
      </c>
      <c r="G24" s="4">
        <v>73630</v>
      </c>
      <c r="H24" s="4">
        <v>179840</v>
      </c>
      <c r="I24" s="4"/>
      <c r="J24" s="4"/>
      <c r="K24" s="4"/>
      <c r="L24" s="6">
        <f t="shared" si="0"/>
        <v>0.409419483985765</v>
      </c>
      <c r="M24" s="4"/>
    </row>
    <row r="25" spans="1:13">
      <c r="A25" s="3">
        <v>45747</v>
      </c>
      <c r="B25" s="4" t="s">
        <v>6</v>
      </c>
      <c r="C25" s="4" t="s">
        <v>28</v>
      </c>
      <c r="D25" s="4" t="s">
        <v>23</v>
      </c>
      <c r="E25" s="4">
        <v>10</v>
      </c>
      <c r="F25" s="4">
        <v>38516</v>
      </c>
      <c r="G25" s="4">
        <v>385160</v>
      </c>
      <c r="H25" s="4">
        <v>38820</v>
      </c>
      <c r="I25" s="4"/>
      <c r="J25" s="4"/>
      <c r="K25" s="4"/>
      <c r="L25" s="6">
        <f t="shared" si="0"/>
        <v>9.92168985059248</v>
      </c>
      <c r="M25" s="4"/>
    </row>
    <row r="26" spans="1:13">
      <c r="A26" s="3">
        <v>45831</v>
      </c>
      <c r="B26" s="4" t="s">
        <v>2</v>
      </c>
      <c r="C26" s="4" t="s">
        <v>24</v>
      </c>
      <c r="D26" s="4" t="s">
        <v>31</v>
      </c>
      <c r="E26" s="4">
        <v>7</v>
      </c>
      <c r="F26" s="4">
        <v>10514</v>
      </c>
      <c r="G26" s="4">
        <v>73598</v>
      </c>
      <c r="H26" s="4">
        <v>128472</v>
      </c>
      <c r="I26" s="4"/>
      <c r="J26" s="4"/>
      <c r="K26" s="4"/>
      <c r="L26" s="6">
        <f t="shared" si="0"/>
        <v>0.572871909832493</v>
      </c>
      <c r="M26" s="4"/>
    </row>
    <row r="27" spans="1:13">
      <c r="A27" s="3">
        <v>45686</v>
      </c>
      <c r="B27" s="4" t="s">
        <v>5</v>
      </c>
      <c r="C27" s="4" t="s">
        <v>28</v>
      </c>
      <c r="D27" s="4" t="s">
        <v>23</v>
      </c>
      <c r="E27" s="4">
        <v>4</v>
      </c>
      <c r="F27" s="4">
        <v>44327</v>
      </c>
      <c r="G27" s="4">
        <v>177308</v>
      </c>
      <c r="H27" s="4">
        <v>40611</v>
      </c>
      <c r="I27" s="4"/>
      <c r="J27" s="4"/>
      <c r="K27" s="4"/>
      <c r="L27" s="6">
        <f t="shared" si="0"/>
        <v>4.36600920932752</v>
      </c>
      <c r="M27" s="4"/>
    </row>
    <row r="28" spans="1:13">
      <c r="A28" s="3">
        <v>45814</v>
      </c>
      <c r="B28" s="4" t="s">
        <v>7</v>
      </c>
      <c r="C28" s="4" t="s">
        <v>26</v>
      </c>
      <c r="D28" s="4" t="s">
        <v>33</v>
      </c>
      <c r="E28" s="4">
        <v>3</v>
      </c>
      <c r="F28" s="4">
        <v>22057</v>
      </c>
      <c r="G28" s="4">
        <v>66171</v>
      </c>
      <c r="H28" s="4">
        <v>157598</v>
      </c>
      <c r="I28" s="4"/>
      <c r="J28" s="4"/>
      <c r="K28" s="4"/>
      <c r="L28" s="6">
        <f t="shared" si="0"/>
        <v>0.419872079594919</v>
      </c>
      <c r="M28" s="4"/>
    </row>
    <row r="29" spans="1:13">
      <c r="A29" s="3">
        <v>45815</v>
      </c>
      <c r="B29" s="4" t="s">
        <v>7</v>
      </c>
      <c r="C29" s="4" t="s">
        <v>26</v>
      </c>
      <c r="D29" s="4" t="s">
        <v>30</v>
      </c>
      <c r="E29" s="4">
        <v>6</v>
      </c>
      <c r="F29" s="4">
        <v>14853</v>
      </c>
      <c r="G29" s="4">
        <v>89118</v>
      </c>
      <c r="H29" s="4">
        <v>51595</v>
      </c>
      <c r="I29" s="4"/>
      <c r="J29" s="4"/>
      <c r="K29" s="4"/>
      <c r="L29" s="6">
        <f t="shared" si="0"/>
        <v>1.72726039344898</v>
      </c>
      <c r="M29" s="4"/>
    </row>
    <row r="30" spans="1:13">
      <c r="A30" s="3">
        <v>45814</v>
      </c>
      <c r="B30" s="4" t="s">
        <v>4</v>
      </c>
      <c r="C30" s="4" t="s">
        <v>26</v>
      </c>
      <c r="D30" s="4" t="s">
        <v>33</v>
      </c>
      <c r="E30" s="4">
        <v>8</v>
      </c>
      <c r="F30" s="4">
        <v>23501</v>
      </c>
      <c r="G30" s="4">
        <v>188008</v>
      </c>
      <c r="H30" s="4">
        <v>199498</v>
      </c>
      <c r="I30" s="4"/>
      <c r="J30" s="4"/>
      <c r="K30" s="4"/>
      <c r="L30" s="6">
        <f t="shared" si="0"/>
        <v>0.942405437648498</v>
      </c>
      <c r="M30" s="4"/>
    </row>
    <row r="31" spans="1:13">
      <c r="A31" s="3">
        <v>45692</v>
      </c>
      <c r="B31" s="4" t="s">
        <v>4</v>
      </c>
      <c r="C31" s="4" t="s">
        <v>22</v>
      </c>
      <c r="D31" s="4" t="s">
        <v>33</v>
      </c>
      <c r="E31" s="4">
        <v>5</v>
      </c>
      <c r="F31" s="4">
        <v>18014</v>
      </c>
      <c r="G31" s="4">
        <v>90070</v>
      </c>
      <c r="H31" s="4">
        <v>145752</v>
      </c>
      <c r="I31" s="4"/>
      <c r="J31" s="4"/>
      <c r="K31" s="4"/>
      <c r="L31" s="6">
        <f t="shared" si="0"/>
        <v>0.617967506449311</v>
      </c>
      <c r="M31" s="4"/>
    </row>
    <row r="32" spans="1:13">
      <c r="A32" s="3">
        <v>45662</v>
      </c>
      <c r="B32" s="4" t="s">
        <v>2</v>
      </c>
      <c r="C32" s="4" t="s">
        <v>24</v>
      </c>
      <c r="D32" s="4" t="s">
        <v>23</v>
      </c>
      <c r="E32" s="4">
        <v>6</v>
      </c>
      <c r="F32" s="4">
        <v>34650</v>
      </c>
      <c r="G32" s="4">
        <v>207900</v>
      </c>
      <c r="H32" s="4">
        <v>6784</v>
      </c>
      <c r="I32" s="4"/>
      <c r="J32" s="4"/>
      <c r="K32" s="4"/>
      <c r="L32" s="6">
        <f t="shared" si="0"/>
        <v>30.6456367924528</v>
      </c>
      <c r="M32" s="4"/>
    </row>
    <row r="33" spans="1:13">
      <c r="A33" s="3">
        <v>45756</v>
      </c>
      <c r="B33" s="4" t="s">
        <v>3</v>
      </c>
      <c r="C33" s="4" t="s">
        <v>26</v>
      </c>
      <c r="D33" s="4" t="s">
        <v>25</v>
      </c>
      <c r="E33" s="4">
        <v>2</v>
      </c>
      <c r="F33" s="4">
        <v>13311</v>
      </c>
      <c r="G33" s="4">
        <v>26622</v>
      </c>
      <c r="H33" s="4">
        <v>84979</v>
      </c>
      <c r="I33" s="4"/>
      <c r="J33" s="4"/>
      <c r="K33" s="4"/>
      <c r="L33" s="6">
        <f t="shared" si="0"/>
        <v>0.313277397945375</v>
      </c>
      <c r="M33" s="4"/>
    </row>
    <row r="34" spans="1:13">
      <c r="A34" s="3">
        <v>45798</v>
      </c>
      <c r="B34" s="4" t="s">
        <v>3</v>
      </c>
      <c r="C34" s="4" t="s">
        <v>28</v>
      </c>
      <c r="D34" s="4" t="s">
        <v>30</v>
      </c>
      <c r="E34" s="4">
        <v>3</v>
      </c>
      <c r="F34" s="4">
        <v>47352</v>
      </c>
      <c r="G34" s="4">
        <v>142056</v>
      </c>
      <c r="H34" s="4">
        <v>141453</v>
      </c>
      <c r="I34" s="4"/>
      <c r="J34" s="4"/>
      <c r="K34" s="4"/>
      <c r="L34" s="6">
        <f t="shared" si="0"/>
        <v>1.00426290004454</v>
      </c>
      <c r="M34" s="4"/>
    </row>
    <row r="35" spans="1:13">
      <c r="A35" s="3">
        <v>45789</v>
      </c>
      <c r="B35" s="4" t="s">
        <v>2</v>
      </c>
      <c r="C35" s="4" t="s">
        <v>24</v>
      </c>
      <c r="D35" s="4" t="s">
        <v>25</v>
      </c>
      <c r="E35" s="4">
        <v>7</v>
      </c>
      <c r="F35" s="4">
        <v>21065</v>
      </c>
      <c r="G35" s="4">
        <v>147455</v>
      </c>
      <c r="H35" s="4">
        <v>132732</v>
      </c>
      <c r="I35" s="4"/>
      <c r="J35" s="4"/>
      <c r="K35" s="4"/>
      <c r="L35" s="6">
        <f t="shared" si="0"/>
        <v>1.11092276165506</v>
      </c>
      <c r="M35" s="4"/>
    </row>
    <row r="36" spans="1:13">
      <c r="A36" s="3">
        <v>45717</v>
      </c>
      <c r="B36" s="4" t="s">
        <v>3</v>
      </c>
      <c r="C36" s="4" t="s">
        <v>22</v>
      </c>
      <c r="D36" s="4" t="s">
        <v>25</v>
      </c>
      <c r="E36" s="4">
        <v>5</v>
      </c>
      <c r="F36" s="4">
        <v>33132</v>
      </c>
      <c r="G36" s="4">
        <v>165660</v>
      </c>
      <c r="H36" s="4">
        <v>58490</v>
      </c>
      <c r="I36" s="4"/>
      <c r="J36" s="4"/>
      <c r="K36" s="4"/>
      <c r="L36" s="6">
        <f t="shared" si="0"/>
        <v>2.83227902205505</v>
      </c>
      <c r="M36" s="4"/>
    </row>
    <row r="37" spans="1:13">
      <c r="A37" s="3">
        <v>45769</v>
      </c>
      <c r="B37" s="4" t="s">
        <v>6</v>
      </c>
      <c r="C37" s="4" t="s">
        <v>24</v>
      </c>
      <c r="D37" s="4" t="s">
        <v>33</v>
      </c>
      <c r="E37" s="4">
        <v>8</v>
      </c>
      <c r="F37" s="4">
        <v>1636</v>
      </c>
      <c r="G37" s="4">
        <v>13088</v>
      </c>
      <c r="H37" s="4">
        <v>101986</v>
      </c>
      <c r="I37" s="4"/>
      <c r="J37" s="4"/>
      <c r="K37" s="4"/>
      <c r="L37" s="6">
        <f t="shared" si="0"/>
        <v>0.128331339595631</v>
      </c>
      <c r="M37" s="4"/>
    </row>
    <row r="38" spans="1:13">
      <c r="A38" s="3">
        <v>45775</v>
      </c>
      <c r="B38" s="4" t="s">
        <v>5</v>
      </c>
      <c r="C38" s="4" t="s">
        <v>24</v>
      </c>
      <c r="D38" s="4" t="s">
        <v>29</v>
      </c>
      <c r="E38" s="4">
        <v>7</v>
      </c>
      <c r="F38" s="4">
        <v>36357</v>
      </c>
      <c r="G38" s="4">
        <v>254499</v>
      </c>
      <c r="H38" s="4">
        <v>143453</v>
      </c>
      <c r="I38" s="4"/>
      <c r="J38" s="4"/>
      <c r="K38" s="4"/>
      <c r="L38" s="6">
        <f t="shared" si="0"/>
        <v>1.77409325702495</v>
      </c>
      <c r="M38" s="4"/>
    </row>
    <row r="39" spans="1:13">
      <c r="A39" s="3">
        <v>45827</v>
      </c>
      <c r="B39" s="4" t="s">
        <v>5</v>
      </c>
      <c r="C39" s="4" t="s">
        <v>26</v>
      </c>
      <c r="D39" s="4" t="s">
        <v>30</v>
      </c>
      <c r="E39" s="4">
        <v>6</v>
      </c>
      <c r="F39" s="4">
        <v>36400</v>
      </c>
      <c r="G39" s="4">
        <v>218400</v>
      </c>
      <c r="H39" s="4">
        <v>31305</v>
      </c>
      <c r="I39" s="4"/>
      <c r="J39" s="4"/>
      <c r="K39" s="4"/>
      <c r="L39" s="6">
        <f t="shared" si="0"/>
        <v>6.97652132247245</v>
      </c>
      <c r="M39" s="4"/>
    </row>
    <row r="40" spans="1:13">
      <c r="A40" s="3">
        <v>45709</v>
      </c>
      <c r="B40" s="4" t="s">
        <v>4</v>
      </c>
      <c r="C40" s="4" t="s">
        <v>22</v>
      </c>
      <c r="D40" s="4" t="s">
        <v>31</v>
      </c>
      <c r="E40" s="4">
        <v>9</v>
      </c>
      <c r="F40" s="4">
        <v>18761</v>
      </c>
      <c r="G40" s="4">
        <v>168849</v>
      </c>
      <c r="H40" s="4">
        <v>25297</v>
      </c>
      <c r="I40" s="4"/>
      <c r="J40" s="4"/>
      <c r="K40" s="4"/>
      <c r="L40" s="6">
        <f t="shared" si="0"/>
        <v>6.67466498003716</v>
      </c>
      <c r="M40" s="4"/>
    </row>
    <row r="41" spans="1:13">
      <c r="A41" s="3">
        <v>45779</v>
      </c>
      <c r="B41" s="4" t="s">
        <v>7</v>
      </c>
      <c r="C41" s="4" t="s">
        <v>22</v>
      </c>
      <c r="D41" s="4" t="s">
        <v>33</v>
      </c>
      <c r="E41" s="4">
        <v>8</v>
      </c>
      <c r="F41" s="4">
        <v>19247</v>
      </c>
      <c r="G41" s="4">
        <v>153976</v>
      </c>
      <c r="H41" s="4">
        <v>139853</v>
      </c>
      <c r="I41" s="4"/>
      <c r="J41" s="4"/>
      <c r="K41" s="4"/>
      <c r="L41" s="6">
        <f t="shared" si="0"/>
        <v>1.1009846052641</v>
      </c>
      <c r="M41" s="4"/>
    </row>
    <row r="42" spans="1:13">
      <c r="A42" s="3">
        <v>45837</v>
      </c>
      <c r="B42" s="4" t="s">
        <v>8</v>
      </c>
      <c r="C42" s="4" t="s">
        <v>24</v>
      </c>
      <c r="D42" s="4" t="s">
        <v>29</v>
      </c>
      <c r="E42" s="4">
        <v>6</v>
      </c>
      <c r="F42" s="4">
        <v>35378</v>
      </c>
      <c r="G42" s="4">
        <v>212268</v>
      </c>
      <c r="H42" s="4">
        <v>75301</v>
      </c>
      <c r="I42" s="4"/>
      <c r="J42" s="4"/>
      <c r="K42" s="4"/>
      <c r="L42" s="6">
        <f t="shared" si="0"/>
        <v>2.81892670748064</v>
      </c>
      <c r="M42" s="4"/>
    </row>
    <row r="43" spans="1:13">
      <c r="A43" s="3">
        <v>45715</v>
      </c>
      <c r="B43" s="4" t="s">
        <v>4</v>
      </c>
      <c r="C43" s="4" t="s">
        <v>26</v>
      </c>
      <c r="D43" s="4" t="s">
        <v>25</v>
      </c>
      <c r="E43" s="4">
        <v>1</v>
      </c>
      <c r="F43" s="4">
        <v>40883</v>
      </c>
      <c r="G43" s="4">
        <v>40883</v>
      </c>
      <c r="H43" s="4">
        <v>162757</v>
      </c>
      <c r="I43" s="4"/>
      <c r="J43" s="4"/>
      <c r="K43" s="4"/>
      <c r="L43" s="6">
        <f t="shared" si="0"/>
        <v>0.251190424989401</v>
      </c>
      <c r="M43" s="4"/>
    </row>
    <row r="44" spans="1:13">
      <c r="A44" s="3">
        <v>45740</v>
      </c>
      <c r="B44" s="4" t="s">
        <v>5</v>
      </c>
      <c r="C44" s="4" t="s">
        <v>22</v>
      </c>
      <c r="D44" s="4" t="s">
        <v>32</v>
      </c>
      <c r="E44" s="4">
        <v>5</v>
      </c>
      <c r="F44" s="4">
        <v>29125</v>
      </c>
      <c r="G44" s="4">
        <v>145625</v>
      </c>
      <c r="H44" s="4">
        <v>104237</v>
      </c>
      <c r="I44" s="4"/>
      <c r="J44" s="4"/>
      <c r="K44" s="4"/>
      <c r="L44" s="6">
        <f t="shared" si="0"/>
        <v>1.39705670731122</v>
      </c>
      <c r="M44" s="4"/>
    </row>
    <row r="45" spans="1:13">
      <c r="A45" s="3">
        <v>45806</v>
      </c>
      <c r="B45" s="4" t="s">
        <v>5</v>
      </c>
      <c r="C45" s="4" t="s">
        <v>28</v>
      </c>
      <c r="D45" s="4" t="s">
        <v>31</v>
      </c>
      <c r="E45" s="4">
        <v>5</v>
      </c>
      <c r="F45" s="4">
        <v>30377</v>
      </c>
      <c r="G45" s="4">
        <v>151885</v>
      </c>
      <c r="H45" s="4">
        <v>136450</v>
      </c>
      <c r="I45" s="4"/>
      <c r="J45" s="4"/>
      <c r="K45" s="4"/>
      <c r="L45" s="6">
        <f t="shared" si="0"/>
        <v>1.11311835837303</v>
      </c>
      <c r="M45" s="4"/>
    </row>
    <row r="46" spans="1:13">
      <c r="A46" s="3">
        <v>45826</v>
      </c>
      <c r="B46" s="4" t="s">
        <v>4</v>
      </c>
      <c r="C46" s="4" t="s">
        <v>26</v>
      </c>
      <c r="D46" s="4" t="s">
        <v>32</v>
      </c>
      <c r="E46" s="4">
        <v>10</v>
      </c>
      <c r="F46" s="4">
        <v>49525</v>
      </c>
      <c r="G46" s="4">
        <v>495250</v>
      </c>
      <c r="H46" s="4">
        <v>150987</v>
      </c>
      <c r="I46" s="4"/>
      <c r="J46" s="4"/>
      <c r="K46" s="4"/>
      <c r="L46" s="6">
        <f t="shared" si="0"/>
        <v>3.28008371581659</v>
      </c>
      <c r="M46" s="4"/>
    </row>
    <row r="47" spans="1:13">
      <c r="A47" s="3">
        <v>45683</v>
      </c>
      <c r="B47" s="4" t="s">
        <v>2</v>
      </c>
      <c r="C47" s="4" t="s">
        <v>26</v>
      </c>
      <c r="D47" s="4" t="s">
        <v>30</v>
      </c>
      <c r="E47" s="4">
        <v>7</v>
      </c>
      <c r="F47" s="4">
        <v>27799</v>
      </c>
      <c r="G47" s="4">
        <v>194593</v>
      </c>
      <c r="H47" s="4">
        <v>58511</v>
      </c>
      <c r="I47" s="4"/>
      <c r="J47" s="4"/>
      <c r="K47" s="4"/>
      <c r="L47" s="6">
        <f t="shared" si="0"/>
        <v>3.32575071354104</v>
      </c>
      <c r="M47" s="4"/>
    </row>
    <row r="48" spans="1:13">
      <c r="A48" s="3">
        <v>45753</v>
      </c>
      <c r="B48" s="4" t="s">
        <v>7</v>
      </c>
      <c r="C48" s="4" t="s">
        <v>28</v>
      </c>
      <c r="D48" s="4" t="s">
        <v>29</v>
      </c>
      <c r="E48" s="4">
        <v>2</v>
      </c>
      <c r="F48" s="4">
        <v>28777</v>
      </c>
      <c r="G48" s="4">
        <v>57554</v>
      </c>
      <c r="H48" s="4">
        <v>183665</v>
      </c>
      <c r="I48" s="4"/>
      <c r="J48" s="4"/>
      <c r="K48" s="4"/>
      <c r="L48" s="6">
        <f t="shared" si="0"/>
        <v>0.313364005118014</v>
      </c>
      <c r="M48" s="4"/>
    </row>
    <row r="49" spans="1:13">
      <c r="A49" s="3">
        <v>45758</v>
      </c>
      <c r="B49" s="4" t="s">
        <v>2</v>
      </c>
      <c r="C49" s="4" t="s">
        <v>24</v>
      </c>
      <c r="D49" s="4" t="s">
        <v>29</v>
      </c>
      <c r="E49" s="4">
        <v>9</v>
      </c>
      <c r="F49" s="4">
        <v>1734</v>
      </c>
      <c r="G49" s="4">
        <v>15606</v>
      </c>
      <c r="H49" s="4">
        <v>189307</v>
      </c>
      <c r="I49" s="4"/>
      <c r="J49" s="4"/>
      <c r="K49" s="4"/>
      <c r="L49" s="6">
        <f t="shared" si="0"/>
        <v>0.082437522120154</v>
      </c>
      <c r="M49" s="4"/>
    </row>
    <row r="50" spans="1:13">
      <c r="A50" s="3">
        <v>45729</v>
      </c>
      <c r="B50" s="4" t="s">
        <v>2</v>
      </c>
      <c r="C50" s="4" t="s">
        <v>22</v>
      </c>
      <c r="D50" s="4" t="s">
        <v>25</v>
      </c>
      <c r="E50" s="4">
        <v>10</v>
      </c>
      <c r="F50" s="4">
        <v>45389</v>
      </c>
      <c r="G50" s="4">
        <v>453890</v>
      </c>
      <c r="H50" s="4">
        <v>50681</v>
      </c>
      <c r="I50" s="4"/>
      <c r="J50" s="4"/>
      <c r="K50" s="4"/>
      <c r="L50" s="6">
        <f t="shared" si="0"/>
        <v>8.95582170833251</v>
      </c>
      <c r="M50" s="4"/>
    </row>
    <row r="51" spans="1:13">
      <c r="A51" s="3">
        <v>45718</v>
      </c>
      <c r="B51" s="4" t="s">
        <v>6</v>
      </c>
      <c r="C51" s="4" t="s">
        <v>24</v>
      </c>
      <c r="D51" s="4" t="s">
        <v>27</v>
      </c>
      <c r="E51" s="4">
        <v>8</v>
      </c>
      <c r="F51" s="4">
        <v>39919</v>
      </c>
      <c r="G51" s="4">
        <v>319352</v>
      </c>
      <c r="H51" s="4">
        <v>149912</v>
      </c>
      <c r="I51" s="4"/>
      <c r="J51" s="4"/>
      <c r="K51" s="4"/>
      <c r="L51" s="6">
        <f t="shared" si="0"/>
        <v>2.1302630876781</v>
      </c>
      <c r="M51" s="4"/>
    </row>
    <row r="52" spans="1:13">
      <c r="A52" s="3">
        <v>45817</v>
      </c>
      <c r="B52" s="4" t="s">
        <v>6</v>
      </c>
      <c r="C52" s="4" t="s">
        <v>28</v>
      </c>
      <c r="D52" s="4" t="s">
        <v>30</v>
      </c>
      <c r="E52" s="4">
        <v>5</v>
      </c>
      <c r="F52" s="4">
        <v>33146</v>
      </c>
      <c r="G52" s="4">
        <v>165730</v>
      </c>
      <c r="H52" s="4">
        <v>106701</v>
      </c>
      <c r="I52" s="4"/>
      <c r="J52" s="4"/>
      <c r="K52" s="4"/>
      <c r="L52" s="6">
        <f t="shared" si="0"/>
        <v>1.55321880769627</v>
      </c>
      <c r="M52" s="4"/>
    </row>
    <row r="53" spans="1:13">
      <c r="A53" s="3">
        <v>45667</v>
      </c>
      <c r="B53" s="4" t="s">
        <v>2</v>
      </c>
      <c r="C53" s="4" t="s">
        <v>28</v>
      </c>
      <c r="D53" s="4" t="s">
        <v>29</v>
      </c>
      <c r="E53" s="4">
        <v>7</v>
      </c>
      <c r="F53" s="4">
        <v>2425</v>
      </c>
      <c r="G53" s="4">
        <v>16975</v>
      </c>
      <c r="H53" s="4">
        <v>29995</v>
      </c>
      <c r="I53" s="4"/>
      <c r="J53" s="4"/>
      <c r="K53" s="4"/>
      <c r="L53" s="6">
        <f t="shared" si="0"/>
        <v>0.565927654609102</v>
      </c>
      <c r="M53" s="4"/>
    </row>
    <row r="54" spans="1:13">
      <c r="A54" s="3">
        <v>45701</v>
      </c>
      <c r="B54" s="4" t="s">
        <v>2</v>
      </c>
      <c r="C54" s="4" t="s">
        <v>26</v>
      </c>
      <c r="D54" s="4" t="s">
        <v>27</v>
      </c>
      <c r="E54" s="4">
        <v>7</v>
      </c>
      <c r="F54" s="4">
        <v>29091</v>
      </c>
      <c r="G54" s="4">
        <v>203637</v>
      </c>
      <c r="H54" s="4">
        <v>141601</v>
      </c>
      <c r="I54" s="4"/>
      <c r="J54" s="4"/>
      <c r="K54" s="4"/>
      <c r="L54" s="6">
        <f t="shared" si="0"/>
        <v>1.4381042506762</v>
      </c>
      <c r="M54" s="4"/>
    </row>
    <row r="55" spans="1:13">
      <c r="A55" s="3">
        <v>45832</v>
      </c>
      <c r="B55" s="4" t="s">
        <v>2</v>
      </c>
      <c r="C55" s="4" t="s">
        <v>28</v>
      </c>
      <c r="D55" s="4" t="s">
        <v>33</v>
      </c>
      <c r="E55" s="4">
        <v>6</v>
      </c>
      <c r="F55" s="4">
        <v>36798</v>
      </c>
      <c r="G55" s="4">
        <v>220788</v>
      </c>
      <c r="H55" s="4">
        <v>15678</v>
      </c>
      <c r="I55" s="4"/>
      <c r="J55" s="4"/>
      <c r="K55" s="4"/>
      <c r="L55" s="6">
        <f t="shared" si="0"/>
        <v>14.0826636050517</v>
      </c>
      <c r="M55" s="4"/>
    </row>
    <row r="56" spans="1:13">
      <c r="A56" s="3">
        <v>45817</v>
      </c>
      <c r="B56" s="4" t="s">
        <v>7</v>
      </c>
      <c r="C56" s="4" t="s">
        <v>24</v>
      </c>
      <c r="D56" s="4" t="s">
        <v>23</v>
      </c>
      <c r="E56" s="4">
        <v>3</v>
      </c>
      <c r="F56" s="4">
        <v>39436</v>
      </c>
      <c r="G56" s="4">
        <v>118308</v>
      </c>
      <c r="H56" s="4">
        <v>173698</v>
      </c>
      <c r="I56" s="4"/>
      <c r="J56" s="4"/>
      <c r="K56" s="4"/>
      <c r="L56" s="6">
        <f t="shared" si="0"/>
        <v>0.681113196467432</v>
      </c>
      <c r="M56" s="4"/>
    </row>
    <row r="57" spans="1:13">
      <c r="A57" s="3">
        <v>45717</v>
      </c>
      <c r="B57" s="4" t="s">
        <v>3</v>
      </c>
      <c r="C57" s="4" t="s">
        <v>28</v>
      </c>
      <c r="D57" s="4" t="s">
        <v>25</v>
      </c>
      <c r="E57" s="4">
        <v>7</v>
      </c>
      <c r="F57" s="4">
        <v>3719</v>
      </c>
      <c r="G57" s="4">
        <v>26033</v>
      </c>
      <c r="H57" s="4">
        <v>43205</v>
      </c>
      <c r="I57" s="4"/>
      <c r="J57" s="4"/>
      <c r="K57" s="4"/>
      <c r="L57" s="6">
        <f t="shared" si="0"/>
        <v>0.602546001620183</v>
      </c>
      <c r="M57" s="4"/>
    </row>
    <row r="58" spans="1:13">
      <c r="A58" s="3">
        <v>45664</v>
      </c>
      <c r="B58" s="4" t="s">
        <v>4</v>
      </c>
      <c r="C58" s="4" t="s">
        <v>22</v>
      </c>
      <c r="D58" s="4" t="s">
        <v>30</v>
      </c>
      <c r="E58" s="4">
        <v>7</v>
      </c>
      <c r="F58" s="4">
        <v>29203</v>
      </c>
      <c r="G58" s="4">
        <v>204421</v>
      </c>
      <c r="H58" s="4">
        <v>78267</v>
      </c>
      <c r="I58" s="4"/>
      <c r="J58" s="4"/>
      <c r="K58" s="4"/>
      <c r="L58" s="6">
        <f t="shared" si="0"/>
        <v>2.61184151685896</v>
      </c>
      <c r="M58" s="4"/>
    </row>
    <row r="59" spans="1:13">
      <c r="A59" s="3">
        <v>45718</v>
      </c>
      <c r="B59" s="4" t="s">
        <v>7</v>
      </c>
      <c r="C59" s="4" t="s">
        <v>24</v>
      </c>
      <c r="D59" s="4" t="s">
        <v>29</v>
      </c>
      <c r="E59" s="4">
        <v>7</v>
      </c>
      <c r="F59" s="4">
        <v>47338</v>
      </c>
      <c r="G59" s="4">
        <v>331366</v>
      </c>
      <c r="H59" s="4">
        <v>34246</v>
      </c>
      <c r="I59" s="4"/>
      <c r="J59" s="4"/>
      <c r="K59" s="4"/>
      <c r="L59" s="6">
        <f t="shared" si="0"/>
        <v>9.67604975763593</v>
      </c>
      <c r="M59" s="4"/>
    </row>
    <row r="60" spans="1:13">
      <c r="A60" s="3">
        <v>45707</v>
      </c>
      <c r="B60" s="4" t="s">
        <v>3</v>
      </c>
      <c r="C60" s="4" t="s">
        <v>26</v>
      </c>
      <c r="D60" s="4" t="s">
        <v>30</v>
      </c>
      <c r="E60" s="4">
        <v>2</v>
      </c>
      <c r="F60" s="4">
        <v>30803</v>
      </c>
      <c r="G60" s="4">
        <v>61606</v>
      </c>
      <c r="H60" s="4">
        <v>77070</v>
      </c>
      <c r="I60" s="4"/>
      <c r="J60" s="4"/>
      <c r="K60" s="4"/>
      <c r="L60" s="6">
        <f t="shared" si="0"/>
        <v>0.799351239133255</v>
      </c>
      <c r="M60" s="4"/>
    </row>
    <row r="61" spans="1:13">
      <c r="A61" s="3">
        <v>45747</v>
      </c>
      <c r="B61" s="4" t="s">
        <v>5</v>
      </c>
      <c r="C61" s="4" t="s">
        <v>28</v>
      </c>
      <c r="D61" s="4" t="s">
        <v>29</v>
      </c>
      <c r="E61" s="4">
        <v>10</v>
      </c>
      <c r="F61" s="4">
        <v>13686</v>
      </c>
      <c r="G61" s="4">
        <v>136860</v>
      </c>
      <c r="H61" s="4">
        <v>87182</v>
      </c>
      <c r="I61" s="4"/>
      <c r="J61" s="4"/>
      <c r="K61" s="4"/>
      <c r="L61" s="6">
        <f t="shared" si="0"/>
        <v>1.56981945814503</v>
      </c>
      <c r="M61" s="4"/>
    </row>
    <row r="62" spans="1:13">
      <c r="A62" s="3">
        <v>45669</v>
      </c>
      <c r="B62" s="4" t="s">
        <v>5</v>
      </c>
      <c r="C62" s="4" t="s">
        <v>28</v>
      </c>
      <c r="D62" s="4" t="s">
        <v>32</v>
      </c>
      <c r="E62" s="4">
        <v>4</v>
      </c>
      <c r="F62" s="4">
        <v>23112</v>
      </c>
      <c r="G62" s="4">
        <v>92448</v>
      </c>
      <c r="H62" s="4">
        <v>7344</v>
      </c>
      <c r="I62" s="4"/>
      <c r="J62" s="4"/>
      <c r="K62" s="4"/>
      <c r="L62" s="6">
        <f t="shared" si="0"/>
        <v>12.5882352941176</v>
      </c>
      <c r="M62" s="4"/>
    </row>
    <row r="63" spans="1:13">
      <c r="A63" s="3">
        <v>45676</v>
      </c>
      <c r="B63" s="4" t="s">
        <v>7</v>
      </c>
      <c r="C63" s="4" t="s">
        <v>26</v>
      </c>
      <c r="D63" s="4" t="s">
        <v>23</v>
      </c>
      <c r="E63" s="4">
        <v>9</v>
      </c>
      <c r="F63" s="4">
        <v>49206</v>
      </c>
      <c r="G63" s="4">
        <v>442854</v>
      </c>
      <c r="H63" s="4">
        <v>162101</v>
      </c>
      <c r="I63" s="4"/>
      <c r="J63" s="4"/>
      <c r="K63" s="4"/>
      <c r="L63" s="6">
        <f t="shared" si="0"/>
        <v>2.73196340553112</v>
      </c>
      <c r="M63" s="4"/>
    </row>
    <row r="64" spans="1:13">
      <c r="A64" s="3">
        <v>45769</v>
      </c>
      <c r="B64" s="4" t="s">
        <v>6</v>
      </c>
      <c r="C64" s="4" t="s">
        <v>22</v>
      </c>
      <c r="D64" s="4" t="s">
        <v>30</v>
      </c>
      <c r="E64" s="4">
        <v>4</v>
      </c>
      <c r="F64" s="4">
        <v>20053</v>
      </c>
      <c r="G64" s="4">
        <v>80212</v>
      </c>
      <c r="H64" s="4">
        <v>91941</v>
      </c>
      <c r="I64" s="4"/>
      <c r="J64" s="4"/>
      <c r="K64" s="4"/>
      <c r="L64" s="6">
        <f t="shared" si="0"/>
        <v>0.872429057765306</v>
      </c>
      <c r="M64" s="4"/>
    </row>
    <row r="65" spans="1:13">
      <c r="A65" s="3">
        <v>45799</v>
      </c>
      <c r="B65" s="4" t="s">
        <v>6</v>
      </c>
      <c r="C65" s="4" t="s">
        <v>26</v>
      </c>
      <c r="D65" s="4" t="s">
        <v>31</v>
      </c>
      <c r="E65" s="4">
        <v>5</v>
      </c>
      <c r="F65" s="4">
        <v>47607</v>
      </c>
      <c r="G65" s="4">
        <v>238035</v>
      </c>
      <c r="H65" s="4">
        <v>120297</v>
      </c>
      <c r="I65" s="4"/>
      <c r="J65" s="4"/>
      <c r="K65" s="4"/>
      <c r="L65" s="6">
        <f t="shared" si="0"/>
        <v>1.97872764906856</v>
      </c>
      <c r="M65" s="4"/>
    </row>
    <row r="66" spans="1:13">
      <c r="A66" s="3">
        <v>45733</v>
      </c>
      <c r="B66" s="4" t="s">
        <v>4</v>
      </c>
      <c r="C66" s="4" t="s">
        <v>22</v>
      </c>
      <c r="D66" s="4" t="s">
        <v>32</v>
      </c>
      <c r="E66" s="4">
        <v>3</v>
      </c>
      <c r="F66" s="4">
        <v>11438</v>
      </c>
      <c r="G66" s="4">
        <v>34314</v>
      </c>
      <c r="H66" s="4">
        <v>165460</v>
      </c>
      <c r="I66" s="4"/>
      <c r="J66" s="4"/>
      <c r="K66" s="4"/>
      <c r="L66" s="6">
        <f t="shared" si="0"/>
        <v>0.207385470808655</v>
      </c>
      <c r="M66" s="4"/>
    </row>
    <row r="67" spans="1:13">
      <c r="A67" s="3">
        <v>45795</v>
      </c>
      <c r="B67" s="4" t="s">
        <v>4</v>
      </c>
      <c r="C67" s="4" t="s">
        <v>22</v>
      </c>
      <c r="D67" s="4" t="s">
        <v>31</v>
      </c>
      <c r="E67" s="4">
        <v>4</v>
      </c>
      <c r="F67" s="4">
        <v>28889</v>
      </c>
      <c r="G67" s="4">
        <v>115556</v>
      </c>
      <c r="H67" s="4">
        <v>4495</v>
      </c>
      <c r="I67" s="4"/>
      <c r="J67" s="4"/>
      <c r="K67" s="4"/>
      <c r="L67" s="6">
        <f t="shared" ref="L67:L130" si="1">G67/H67</f>
        <v>25.7076751946607</v>
      </c>
      <c r="M67" s="4"/>
    </row>
    <row r="68" spans="1:13">
      <c r="A68" s="3">
        <v>45707</v>
      </c>
      <c r="B68" s="4" t="s">
        <v>6</v>
      </c>
      <c r="C68" s="4" t="s">
        <v>22</v>
      </c>
      <c r="D68" s="4" t="s">
        <v>27</v>
      </c>
      <c r="E68" s="4">
        <v>4</v>
      </c>
      <c r="F68" s="4">
        <v>9317</v>
      </c>
      <c r="G68" s="4">
        <v>37268</v>
      </c>
      <c r="H68" s="4">
        <v>71431</v>
      </c>
      <c r="I68" s="4"/>
      <c r="J68" s="4"/>
      <c r="K68" s="4"/>
      <c r="L68" s="6">
        <f t="shared" si="1"/>
        <v>0.521734261035125</v>
      </c>
      <c r="M68" s="4"/>
    </row>
    <row r="69" spans="1:13">
      <c r="A69" s="3">
        <v>45761</v>
      </c>
      <c r="B69" s="4" t="s">
        <v>2</v>
      </c>
      <c r="C69" s="4" t="s">
        <v>26</v>
      </c>
      <c r="D69" s="4" t="s">
        <v>23</v>
      </c>
      <c r="E69" s="4">
        <v>10</v>
      </c>
      <c r="F69" s="4">
        <v>2558</v>
      </c>
      <c r="G69" s="4">
        <v>25580</v>
      </c>
      <c r="H69" s="4">
        <v>124565</v>
      </c>
      <c r="I69" s="4"/>
      <c r="J69" s="4"/>
      <c r="K69" s="4"/>
      <c r="L69" s="6">
        <f t="shared" si="1"/>
        <v>0.205354634126761</v>
      </c>
      <c r="M69" s="4"/>
    </row>
    <row r="70" spans="1:13">
      <c r="A70" s="3">
        <v>45750</v>
      </c>
      <c r="B70" s="4" t="s">
        <v>7</v>
      </c>
      <c r="C70" s="4" t="s">
        <v>22</v>
      </c>
      <c r="D70" s="4" t="s">
        <v>29</v>
      </c>
      <c r="E70" s="4">
        <v>3</v>
      </c>
      <c r="F70" s="4">
        <v>29689</v>
      </c>
      <c r="G70" s="4">
        <v>89067</v>
      </c>
      <c r="H70" s="4">
        <v>141751</v>
      </c>
      <c r="I70" s="4"/>
      <c r="J70" s="4"/>
      <c r="K70" s="4"/>
      <c r="L70" s="6">
        <f t="shared" si="1"/>
        <v>0.628334191645914</v>
      </c>
      <c r="M70" s="4"/>
    </row>
    <row r="71" spans="1:13">
      <c r="A71" s="3">
        <v>45691</v>
      </c>
      <c r="B71" s="4" t="s">
        <v>5</v>
      </c>
      <c r="C71" s="4" t="s">
        <v>26</v>
      </c>
      <c r="D71" s="4" t="s">
        <v>27</v>
      </c>
      <c r="E71" s="4">
        <v>6</v>
      </c>
      <c r="F71" s="4">
        <v>14287</v>
      </c>
      <c r="G71" s="4">
        <v>85722</v>
      </c>
      <c r="H71" s="4">
        <v>97276</v>
      </c>
      <c r="I71" s="4"/>
      <c r="J71" s="4"/>
      <c r="K71" s="4"/>
      <c r="L71" s="6">
        <f t="shared" si="1"/>
        <v>0.881224556930795</v>
      </c>
      <c r="M71" s="4"/>
    </row>
    <row r="72" spans="1:13">
      <c r="A72" s="3">
        <v>45670</v>
      </c>
      <c r="B72" s="4" t="s">
        <v>3</v>
      </c>
      <c r="C72" s="4" t="s">
        <v>22</v>
      </c>
      <c r="D72" s="4" t="s">
        <v>23</v>
      </c>
      <c r="E72" s="4">
        <v>1</v>
      </c>
      <c r="F72" s="4">
        <v>10796</v>
      </c>
      <c r="G72" s="4">
        <v>10796</v>
      </c>
      <c r="H72" s="4">
        <v>115958</v>
      </c>
      <c r="I72" s="4"/>
      <c r="J72" s="4"/>
      <c r="K72" s="4"/>
      <c r="L72" s="6">
        <f t="shared" si="1"/>
        <v>0.0931026751065041</v>
      </c>
      <c r="M72" s="4"/>
    </row>
    <row r="73" spans="1:13">
      <c r="A73" s="3">
        <v>45689</v>
      </c>
      <c r="B73" s="4" t="s">
        <v>8</v>
      </c>
      <c r="C73" s="4" t="s">
        <v>26</v>
      </c>
      <c r="D73" s="4" t="s">
        <v>31</v>
      </c>
      <c r="E73" s="4">
        <v>6</v>
      </c>
      <c r="F73" s="4">
        <v>38335</v>
      </c>
      <c r="G73" s="4">
        <v>230010</v>
      </c>
      <c r="H73" s="4">
        <v>42208</v>
      </c>
      <c r="I73" s="4"/>
      <c r="J73" s="4"/>
      <c r="K73" s="4"/>
      <c r="L73" s="6">
        <f t="shared" si="1"/>
        <v>5.44944086429113</v>
      </c>
      <c r="M73" s="4"/>
    </row>
    <row r="74" spans="1:13">
      <c r="A74" s="3">
        <v>45678</v>
      </c>
      <c r="B74" s="4" t="s">
        <v>2</v>
      </c>
      <c r="C74" s="4" t="s">
        <v>26</v>
      </c>
      <c r="D74" s="4" t="s">
        <v>31</v>
      </c>
      <c r="E74" s="4">
        <v>4</v>
      </c>
      <c r="F74" s="4">
        <v>22165</v>
      </c>
      <c r="G74" s="4">
        <v>88660</v>
      </c>
      <c r="H74" s="4">
        <v>108371</v>
      </c>
      <c r="I74" s="4"/>
      <c r="J74" s="4"/>
      <c r="K74" s="4"/>
      <c r="L74" s="6">
        <f t="shared" si="1"/>
        <v>0.818115547517325</v>
      </c>
      <c r="M74" s="4"/>
    </row>
    <row r="75" spans="1:13">
      <c r="A75" s="3">
        <v>45831</v>
      </c>
      <c r="B75" s="4" t="s">
        <v>8</v>
      </c>
      <c r="C75" s="4" t="s">
        <v>22</v>
      </c>
      <c r="D75" s="4" t="s">
        <v>23</v>
      </c>
      <c r="E75" s="4">
        <v>3</v>
      </c>
      <c r="F75" s="4">
        <v>6392</v>
      </c>
      <c r="G75" s="4">
        <v>19176</v>
      </c>
      <c r="H75" s="4">
        <v>175418</v>
      </c>
      <c r="I75" s="4"/>
      <c r="J75" s="4"/>
      <c r="K75" s="4"/>
      <c r="L75" s="6">
        <f t="shared" si="1"/>
        <v>0.109316033702357</v>
      </c>
      <c r="M75" s="4"/>
    </row>
    <row r="76" spans="1:13">
      <c r="A76" s="3">
        <v>45828</v>
      </c>
      <c r="B76" s="4" t="s">
        <v>7</v>
      </c>
      <c r="C76" s="4" t="s">
        <v>28</v>
      </c>
      <c r="D76" s="4" t="s">
        <v>23</v>
      </c>
      <c r="E76" s="4">
        <v>4</v>
      </c>
      <c r="F76" s="4">
        <v>18082</v>
      </c>
      <c r="G76" s="4">
        <v>72328</v>
      </c>
      <c r="H76" s="4">
        <v>146477</v>
      </c>
      <c r="I76" s="4"/>
      <c r="J76" s="4"/>
      <c r="K76" s="4"/>
      <c r="L76" s="6">
        <f t="shared" si="1"/>
        <v>0.493784007045475</v>
      </c>
      <c r="M76" s="4"/>
    </row>
    <row r="77" spans="1:13">
      <c r="A77" s="3">
        <v>45705</v>
      </c>
      <c r="B77" s="4" t="s">
        <v>7</v>
      </c>
      <c r="C77" s="4" t="s">
        <v>22</v>
      </c>
      <c r="D77" s="4" t="s">
        <v>33</v>
      </c>
      <c r="E77" s="4">
        <v>4</v>
      </c>
      <c r="F77" s="4">
        <v>35482</v>
      </c>
      <c r="G77" s="4">
        <v>141928</v>
      </c>
      <c r="H77" s="4">
        <v>135266</v>
      </c>
      <c r="I77" s="4"/>
      <c r="J77" s="4"/>
      <c r="K77" s="4"/>
      <c r="L77" s="6">
        <f t="shared" si="1"/>
        <v>1.0492511052297</v>
      </c>
      <c r="M77" s="4"/>
    </row>
    <row r="78" spans="1:13">
      <c r="A78" s="3">
        <v>45745</v>
      </c>
      <c r="B78" s="4" t="s">
        <v>4</v>
      </c>
      <c r="C78" s="4" t="s">
        <v>24</v>
      </c>
      <c r="D78" s="4" t="s">
        <v>31</v>
      </c>
      <c r="E78" s="4">
        <v>8</v>
      </c>
      <c r="F78" s="4">
        <v>38817</v>
      </c>
      <c r="G78" s="4">
        <v>310536</v>
      </c>
      <c r="H78" s="4">
        <v>117374</v>
      </c>
      <c r="I78" s="4"/>
      <c r="J78" s="4"/>
      <c r="K78" s="4"/>
      <c r="L78" s="6">
        <f t="shared" si="1"/>
        <v>2.64569666195239</v>
      </c>
      <c r="M78" s="4"/>
    </row>
    <row r="79" spans="1:13">
      <c r="A79" s="3">
        <v>45740</v>
      </c>
      <c r="B79" s="4" t="s">
        <v>4</v>
      </c>
      <c r="C79" s="4" t="s">
        <v>28</v>
      </c>
      <c r="D79" s="4" t="s">
        <v>32</v>
      </c>
      <c r="E79" s="4">
        <v>7</v>
      </c>
      <c r="F79" s="4">
        <v>43878</v>
      </c>
      <c r="G79" s="4">
        <v>307146</v>
      </c>
      <c r="H79" s="4">
        <v>178444</v>
      </c>
      <c r="I79" s="4"/>
      <c r="J79" s="4"/>
      <c r="K79" s="4"/>
      <c r="L79" s="6">
        <f t="shared" si="1"/>
        <v>1.72124588106072</v>
      </c>
      <c r="M79" s="4"/>
    </row>
    <row r="80" spans="1:13">
      <c r="A80" s="3">
        <v>45829</v>
      </c>
      <c r="B80" s="4" t="s">
        <v>5</v>
      </c>
      <c r="C80" s="4" t="s">
        <v>26</v>
      </c>
      <c r="D80" s="4" t="s">
        <v>30</v>
      </c>
      <c r="E80" s="4">
        <v>5</v>
      </c>
      <c r="F80" s="4">
        <v>24827</v>
      </c>
      <c r="G80" s="4">
        <v>124135</v>
      </c>
      <c r="H80" s="4">
        <v>86882</v>
      </c>
      <c r="I80" s="4"/>
      <c r="J80" s="4"/>
      <c r="K80" s="4"/>
      <c r="L80" s="6">
        <f t="shared" si="1"/>
        <v>1.42877696185631</v>
      </c>
      <c r="M80" s="4"/>
    </row>
    <row r="81" spans="1:13">
      <c r="A81" s="3">
        <v>45782</v>
      </c>
      <c r="B81" s="4" t="s">
        <v>5</v>
      </c>
      <c r="C81" s="4" t="s">
        <v>24</v>
      </c>
      <c r="D81" s="4" t="s">
        <v>33</v>
      </c>
      <c r="E81" s="4">
        <v>6</v>
      </c>
      <c r="F81" s="4">
        <v>48096</v>
      </c>
      <c r="G81" s="4">
        <v>288576</v>
      </c>
      <c r="H81" s="4">
        <v>87771</v>
      </c>
      <c r="I81" s="4"/>
      <c r="J81" s="4"/>
      <c r="K81" s="4"/>
      <c r="L81" s="6">
        <f t="shared" si="1"/>
        <v>3.28782855385036</v>
      </c>
      <c r="M81" s="4"/>
    </row>
    <row r="82" spans="1:13">
      <c r="A82" s="3">
        <v>45719</v>
      </c>
      <c r="B82" s="4" t="s">
        <v>7</v>
      </c>
      <c r="C82" s="4" t="s">
        <v>26</v>
      </c>
      <c r="D82" s="4" t="s">
        <v>27</v>
      </c>
      <c r="E82" s="4">
        <v>1</v>
      </c>
      <c r="F82" s="4">
        <v>34491</v>
      </c>
      <c r="G82" s="4">
        <v>34491</v>
      </c>
      <c r="H82" s="4">
        <v>191064</v>
      </c>
      <c r="I82" s="4"/>
      <c r="J82" s="4"/>
      <c r="K82" s="4"/>
      <c r="L82" s="6">
        <f t="shared" si="1"/>
        <v>0.180520663233262</v>
      </c>
      <c r="M82" s="4"/>
    </row>
    <row r="83" spans="1:13">
      <c r="A83" s="3">
        <v>45797</v>
      </c>
      <c r="B83" s="4" t="s">
        <v>2</v>
      </c>
      <c r="C83" s="4" t="s">
        <v>28</v>
      </c>
      <c r="D83" s="4" t="s">
        <v>30</v>
      </c>
      <c r="E83" s="4">
        <v>2</v>
      </c>
      <c r="F83" s="4">
        <v>27540</v>
      </c>
      <c r="G83" s="4">
        <v>55080</v>
      </c>
      <c r="H83" s="4">
        <v>30969</v>
      </c>
      <c r="I83" s="4"/>
      <c r="J83" s="4"/>
      <c r="K83" s="4"/>
      <c r="L83" s="6">
        <f t="shared" si="1"/>
        <v>1.77855274629468</v>
      </c>
      <c r="M83" s="4"/>
    </row>
    <row r="84" spans="1:13">
      <c r="A84" s="3">
        <v>45826</v>
      </c>
      <c r="B84" s="4" t="s">
        <v>5</v>
      </c>
      <c r="C84" s="4" t="s">
        <v>22</v>
      </c>
      <c r="D84" s="4" t="s">
        <v>25</v>
      </c>
      <c r="E84" s="4">
        <v>8</v>
      </c>
      <c r="F84" s="4">
        <v>48837</v>
      </c>
      <c r="G84" s="4">
        <v>390696</v>
      </c>
      <c r="H84" s="4">
        <v>106767</v>
      </c>
      <c r="I84" s="4"/>
      <c r="J84" s="4"/>
      <c r="K84" s="4"/>
      <c r="L84" s="6">
        <f t="shared" si="1"/>
        <v>3.65933293995336</v>
      </c>
      <c r="M84" s="4"/>
    </row>
    <row r="85" spans="1:13">
      <c r="A85" s="3">
        <v>45774</v>
      </c>
      <c r="B85" s="4" t="s">
        <v>3</v>
      </c>
      <c r="C85" s="4" t="s">
        <v>26</v>
      </c>
      <c r="D85" s="4" t="s">
        <v>27</v>
      </c>
      <c r="E85" s="4">
        <v>9</v>
      </c>
      <c r="F85" s="4">
        <v>7841</v>
      </c>
      <c r="G85" s="4">
        <v>70569</v>
      </c>
      <c r="H85" s="4">
        <v>47331</v>
      </c>
      <c r="I85" s="4"/>
      <c r="J85" s="4"/>
      <c r="K85" s="4"/>
      <c r="L85" s="6">
        <f t="shared" si="1"/>
        <v>1.49096786461304</v>
      </c>
      <c r="M85" s="4"/>
    </row>
    <row r="86" spans="1:13">
      <c r="A86" s="3">
        <v>45756</v>
      </c>
      <c r="B86" s="4" t="s">
        <v>2</v>
      </c>
      <c r="C86" s="4" t="s">
        <v>24</v>
      </c>
      <c r="D86" s="4" t="s">
        <v>32</v>
      </c>
      <c r="E86" s="4">
        <v>10</v>
      </c>
      <c r="F86" s="4">
        <v>13508</v>
      </c>
      <c r="G86" s="4">
        <v>135080</v>
      </c>
      <c r="H86" s="4">
        <v>93518</v>
      </c>
      <c r="I86" s="4"/>
      <c r="J86" s="4"/>
      <c r="K86" s="4"/>
      <c r="L86" s="6">
        <f t="shared" si="1"/>
        <v>1.44442781068885</v>
      </c>
      <c r="M86" s="4"/>
    </row>
    <row r="87" spans="1:13">
      <c r="A87" s="3">
        <v>45662</v>
      </c>
      <c r="B87" s="4" t="s">
        <v>8</v>
      </c>
      <c r="C87" s="4" t="s">
        <v>22</v>
      </c>
      <c r="D87" s="4" t="s">
        <v>23</v>
      </c>
      <c r="E87" s="4">
        <v>10</v>
      </c>
      <c r="F87" s="4">
        <v>38254</v>
      </c>
      <c r="G87" s="4">
        <v>382540</v>
      </c>
      <c r="H87" s="4">
        <v>169491</v>
      </c>
      <c r="I87" s="4"/>
      <c r="J87" s="4"/>
      <c r="K87" s="4"/>
      <c r="L87" s="6">
        <f t="shared" si="1"/>
        <v>2.25699299667829</v>
      </c>
      <c r="M87" s="4"/>
    </row>
    <row r="88" spans="1:13">
      <c r="A88" s="3">
        <v>45716</v>
      </c>
      <c r="B88" s="4" t="s">
        <v>8</v>
      </c>
      <c r="C88" s="4" t="s">
        <v>28</v>
      </c>
      <c r="D88" s="4" t="s">
        <v>32</v>
      </c>
      <c r="E88" s="4">
        <v>2</v>
      </c>
      <c r="F88" s="4">
        <v>48022</v>
      </c>
      <c r="G88" s="4">
        <v>96044</v>
      </c>
      <c r="H88" s="4">
        <v>24693</v>
      </c>
      <c r="I88" s="4"/>
      <c r="J88" s="4"/>
      <c r="K88" s="4"/>
      <c r="L88" s="6">
        <f t="shared" si="1"/>
        <v>3.88952334669744</v>
      </c>
      <c r="M88" s="4"/>
    </row>
    <row r="89" spans="1:13">
      <c r="A89" s="3">
        <v>45671</v>
      </c>
      <c r="B89" s="4" t="s">
        <v>2</v>
      </c>
      <c r="C89" s="4" t="s">
        <v>26</v>
      </c>
      <c r="D89" s="4" t="s">
        <v>25</v>
      </c>
      <c r="E89" s="4">
        <v>5</v>
      </c>
      <c r="F89" s="4">
        <v>31043</v>
      </c>
      <c r="G89" s="4">
        <v>155215</v>
      </c>
      <c r="H89" s="4">
        <v>181985</v>
      </c>
      <c r="I89" s="4"/>
      <c r="J89" s="4"/>
      <c r="K89" s="4"/>
      <c r="L89" s="6">
        <f t="shared" si="1"/>
        <v>0.852899964282771</v>
      </c>
      <c r="M89" s="4"/>
    </row>
    <row r="90" spans="1:13">
      <c r="A90" s="3">
        <v>45770</v>
      </c>
      <c r="B90" s="4" t="s">
        <v>7</v>
      </c>
      <c r="C90" s="4" t="s">
        <v>22</v>
      </c>
      <c r="D90" s="4" t="s">
        <v>23</v>
      </c>
      <c r="E90" s="4">
        <v>2</v>
      </c>
      <c r="F90" s="4">
        <v>14950</v>
      </c>
      <c r="G90" s="4">
        <v>29900</v>
      </c>
      <c r="H90" s="4">
        <v>153431</v>
      </c>
      <c r="I90" s="4"/>
      <c r="J90" s="4"/>
      <c r="K90" s="4"/>
      <c r="L90" s="6">
        <f t="shared" si="1"/>
        <v>0.194875872542055</v>
      </c>
      <c r="M90" s="4"/>
    </row>
    <row r="91" spans="1:13">
      <c r="A91" s="3">
        <v>45821</v>
      </c>
      <c r="B91" s="4" t="s">
        <v>6</v>
      </c>
      <c r="C91" s="4" t="s">
        <v>26</v>
      </c>
      <c r="D91" s="4" t="s">
        <v>23</v>
      </c>
      <c r="E91" s="4">
        <v>1</v>
      </c>
      <c r="F91" s="4">
        <v>48073</v>
      </c>
      <c r="G91" s="4">
        <v>48073</v>
      </c>
      <c r="H91" s="4">
        <v>26902</v>
      </c>
      <c r="I91" s="4"/>
      <c r="J91" s="4"/>
      <c r="K91" s="4"/>
      <c r="L91" s="6">
        <f t="shared" si="1"/>
        <v>1.78696751170917</v>
      </c>
      <c r="M91" s="4"/>
    </row>
    <row r="92" spans="1:13">
      <c r="A92" s="3">
        <v>45799</v>
      </c>
      <c r="B92" s="4" t="s">
        <v>6</v>
      </c>
      <c r="C92" s="4" t="s">
        <v>24</v>
      </c>
      <c r="D92" s="4" t="s">
        <v>27</v>
      </c>
      <c r="E92" s="4">
        <v>7</v>
      </c>
      <c r="F92" s="4">
        <v>17606</v>
      </c>
      <c r="G92" s="4">
        <v>123242</v>
      </c>
      <c r="H92" s="4">
        <v>41322</v>
      </c>
      <c r="I92" s="4"/>
      <c r="J92" s="4"/>
      <c r="K92" s="4"/>
      <c r="L92" s="6">
        <f t="shared" si="1"/>
        <v>2.98247906684091</v>
      </c>
      <c r="M92" s="4"/>
    </row>
    <row r="93" spans="1:13">
      <c r="A93" s="3">
        <v>45826</v>
      </c>
      <c r="B93" s="4" t="s">
        <v>4</v>
      </c>
      <c r="C93" s="4" t="s">
        <v>24</v>
      </c>
      <c r="D93" s="4" t="s">
        <v>30</v>
      </c>
      <c r="E93" s="4">
        <v>5</v>
      </c>
      <c r="F93" s="4">
        <v>12162</v>
      </c>
      <c r="G93" s="4">
        <v>60810</v>
      </c>
      <c r="H93" s="4">
        <v>79992</v>
      </c>
      <c r="I93" s="4"/>
      <c r="J93" s="4"/>
      <c r="K93" s="4"/>
      <c r="L93" s="6">
        <f t="shared" si="1"/>
        <v>0.76020102010201</v>
      </c>
      <c r="M93" s="4"/>
    </row>
    <row r="94" spans="1:13">
      <c r="A94" s="3">
        <v>45786</v>
      </c>
      <c r="B94" s="4" t="s">
        <v>6</v>
      </c>
      <c r="C94" s="4" t="s">
        <v>26</v>
      </c>
      <c r="D94" s="4" t="s">
        <v>32</v>
      </c>
      <c r="E94" s="4">
        <v>6</v>
      </c>
      <c r="F94" s="4">
        <v>21865</v>
      </c>
      <c r="G94" s="4">
        <v>131190</v>
      </c>
      <c r="H94" s="4">
        <v>50834</v>
      </c>
      <c r="I94" s="4"/>
      <c r="J94" s="4"/>
      <c r="K94" s="4"/>
      <c r="L94" s="6">
        <f t="shared" si="1"/>
        <v>2.5807530393044</v>
      </c>
      <c r="M94" s="4"/>
    </row>
    <row r="95" spans="1:13">
      <c r="A95" s="3">
        <v>45712</v>
      </c>
      <c r="B95" s="4" t="s">
        <v>7</v>
      </c>
      <c r="C95" s="4" t="s">
        <v>26</v>
      </c>
      <c r="D95" s="4" t="s">
        <v>27</v>
      </c>
      <c r="E95" s="4">
        <v>1</v>
      </c>
      <c r="F95" s="4">
        <v>18501</v>
      </c>
      <c r="G95" s="4">
        <v>18501</v>
      </c>
      <c r="H95" s="4">
        <v>11674</v>
      </c>
      <c r="I95" s="4"/>
      <c r="J95" s="4"/>
      <c r="K95" s="4"/>
      <c r="L95" s="6">
        <f t="shared" si="1"/>
        <v>1.5848038375878</v>
      </c>
      <c r="M95" s="4"/>
    </row>
    <row r="96" spans="1:13">
      <c r="A96" s="3">
        <v>45711</v>
      </c>
      <c r="B96" s="4" t="s">
        <v>2</v>
      </c>
      <c r="C96" s="4" t="s">
        <v>22</v>
      </c>
      <c r="D96" s="4" t="s">
        <v>33</v>
      </c>
      <c r="E96" s="4">
        <v>2</v>
      </c>
      <c r="F96" s="4">
        <v>32905</v>
      </c>
      <c r="G96" s="4">
        <v>65810</v>
      </c>
      <c r="H96" s="4">
        <v>10935</v>
      </c>
      <c r="I96" s="4"/>
      <c r="J96" s="4"/>
      <c r="K96" s="4"/>
      <c r="L96" s="6">
        <f t="shared" si="1"/>
        <v>6.0182898948331</v>
      </c>
      <c r="M96" s="4"/>
    </row>
    <row r="97" spans="1:13">
      <c r="A97" s="3">
        <v>45798</v>
      </c>
      <c r="B97" s="4" t="s">
        <v>4</v>
      </c>
      <c r="C97" s="4" t="s">
        <v>22</v>
      </c>
      <c r="D97" s="4" t="s">
        <v>27</v>
      </c>
      <c r="E97" s="4">
        <v>1</v>
      </c>
      <c r="F97" s="4">
        <v>16344</v>
      </c>
      <c r="G97" s="4">
        <v>16344</v>
      </c>
      <c r="H97" s="4">
        <v>15835</v>
      </c>
      <c r="I97" s="4"/>
      <c r="J97" s="4"/>
      <c r="K97" s="4"/>
      <c r="L97" s="6">
        <f t="shared" si="1"/>
        <v>1.0321439848437</v>
      </c>
      <c r="M97" s="4"/>
    </row>
    <row r="98" spans="1:13">
      <c r="A98" s="3">
        <v>45791</v>
      </c>
      <c r="B98" s="4" t="s">
        <v>4</v>
      </c>
      <c r="C98" s="4" t="s">
        <v>22</v>
      </c>
      <c r="D98" s="4" t="s">
        <v>30</v>
      </c>
      <c r="E98" s="4">
        <v>4</v>
      </c>
      <c r="F98" s="4">
        <v>10285</v>
      </c>
      <c r="G98" s="4">
        <v>41140</v>
      </c>
      <c r="H98" s="4">
        <v>66270</v>
      </c>
      <c r="I98" s="4"/>
      <c r="J98" s="4"/>
      <c r="K98" s="4"/>
      <c r="L98" s="6">
        <f t="shared" si="1"/>
        <v>0.620793722649766</v>
      </c>
      <c r="M98" s="4"/>
    </row>
    <row r="99" spans="1:13">
      <c r="A99" s="3">
        <v>45660</v>
      </c>
      <c r="B99" s="4" t="s">
        <v>2</v>
      </c>
      <c r="C99" s="4" t="s">
        <v>28</v>
      </c>
      <c r="D99" s="4" t="s">
        <v>31</v>
      </c>
      <c r="E99" s="4">
        <v>7</v>
      </c>
      <c r="F99" s="4">
        <v>15564</v>
      </c>
      <c r="G99" s="4">
        <v>108948</v>
      </c>
      <c r="H99" s="4">
        <v>76498</v>
      </c>
      <c r="I99" s="4"/>
      <c r="J99" s="4"/>
      <c r="K99" s="4"/>
      <c r="L99" s="6">
        <f t="shared" si="1"/>
        <v>1.42419409657769</v>
      </c>
      <c r="M99" s="4"/>
    </row>
    <row r="100" spans="1:13">
      <c r="A100" s="3">
        <v>45663</v>
      </c>
      <c r="B100" s="4" t="s">
        <v>3</v>
      </c>
      <c r="C100" s="4" t="s">
        <v>26</v>
      </c>
      <c r="D100" s="4" t="s">
        <v>27</v>
      </c>
      <c r="E100" s="4">
        <v>4</v>
      </c>
      <c r="F100" s="4">
        <v>10015</v>
      </c>
      <c r="G100" s="4">
        <v>40060</v>
      </c>
      <c r="H100" s="4">
        <v>5101</v>
      </c>
      <c r="I100" s="4"/>
      <c r="J100" s="4"/>
      <c r="K100" s="4"/>
      <c r="L100" s="6">
        <f t="shared" si="1"/>
        <v>7.85336208586552</v>
      </c>
      <c r="M100" s="4"/>
    </row>
    <row r="101" spans="1:13">
      <c r="A101" s="3">
        <v>45717</v>
      </c>
      <c r="B101" s="4" t="s">
        <v>2</v>
      </c>
      <c r="C101" s="4" t="s">
        <v>26</v>
      </c>
      <c r="D101" s="4" t="s">
        <v>25</v>
      </c>
      <c r="E101" s="4">
        <v>5</v>
      </c>
      <c r="F101" s="4">
        <v>40740</v>
      </c>
      <c r="G101" s="4">
        <v>203700</v>
      </c>
      <c r="H101" s="4">
        <v>160774</v>
      </c>
      <c r="I101" s="4"/>
      <c r="J101" s="4"/>
      <c r="K101" s="4"/>
      <c r="L101" s="6">
        <f t="shared" si="1"/>
        <v>1.26699590729844</v>
      </c>
      <c r="M101" s="4"/>
    </row>
    <row r="102" spans="1:13">
      <c r="A102" s="3">
        <v>45808</v>
      </c>
      <c r="B102" s="4" t="s">
        <v>7</v>
      </c>
      <c r="C102" s="4" t="s">
        <v>28</v>
      </c>
      <c r="D102" s="4" t="s">
        <v>29</v>
      </c>
      <c r="E102" s="4">
        <v>8</v>
      </c>
      <c r="F102" s="4">
        <v>41793</v>
      </c>
      <c r="G102" s="4">
        <v>334344</v>
      </c>
      <c r="H102" s="4">
        <v>120709</v>
      </c>
      <c r="I102" s="4"/>
      <c r="J102" s="4"/>
      <c r="K102" s="4"/>
      <c r="L102" s="6">
        <f t="shared" si="1"/>
        <v>2.76983489217871</v>
      </c>
      <c r="M102" s="4"/>
    </row>
    <row r="103" spans="1:13">
      <c r="A103" s="3">
        <v>45829</v>
      </c>
      <c r="B103" s="4" t="s">
        <v>7</v>
      </c>
      <c r="C103" s="4" t="s">
        <v>26</v>
      </c>
      <c r="D103" s="4" t="s">
        <v>23</v>
      </c>
      <c r="E103" s="4">
        <v>3</v>
      </c>
      <c r="F103" s="4">
        <v>4427</v>
      </c>
      <c r="G103" s="4">
        <v>13281</v>
      </c>
      <c r="H103" s="4">
        <v>117055</v>
      </c>
      <c r="I103" s="4"/>
      <c r="J103" s="4"/>
      <c r="K103" s="4"/>
      <c r="L103" s="6">
        <f t="shared" si="1"/>
        <v>0.113459484857546</v>
      </c>
      <c r="M103" s="4"/>
    </row>
    <row r="104" spans="1:13">
      <c r="A104" s="3">
        <v>45660</v>
      </c>
      <c r="B104" s="4" t="s">
        <v>8</v>
      </c>
      <c r="C104" s="4" t="s">
        <v>28</v>
      </c>
      <c r="D104" s="4" t="s">
        <v>32</v>
      </c>
      <c r="E104" s="4">
        <v>2</v>
      </c>
      <c r="F104" s="4">
        <v>28253</v>
      </c>
      <c r="G104" s="4">
        <v>56506</v>
      </c>
      <c r="H104" s="4">
        <v>83476</v>
      </c>
      <c r="I104" s="4"/>
      <c r="J104" s="4"/>
      <c r="K104" s="4"/>
      <c r="L104" s="6">
        <f t="shared" si="1"/>
        <v>0.676913124730462</v>
      </c>
      <c r="M104" s="4"/>
    </row>
    <row r="105" spans="1:13">
      <c r="A105" s="3">
        <v>45757</v>
      </c>
      <c r="B105" s="4" t="s">
        <v>4</v>
      </c>
      <c r="C105" s="4" t="s">
        <v>24</v>
      </c>
      <c r="D105" s="4" t="s">
        <v>25</v>
      </c>
      <c r="E105" s="4">
        <v>6</v>
      </c>
      <c r="F105" s="4">
        <v>21475</v>
      </c>
      <c r="G105" s="4">
        <v>128850</v>
      </c>
      <c r="H105" s="4">
        <v>17644</v>
      </c>
      <c r="I105" s="4"/>
      <c r="J105" s="4"/>
      <c r="K105" s="4"/>
      <c r="L105" s="6">
        <f t="shared" si="1"/>
        <v>7.30276581274088</v>
      </c>
      <c r="M105" s="4"/>
    </row>
    <row r="106" spans="1:13">
      <c r="A106" s="3">
        <v>45709</v>
      </c>
      <c r="B106" s="4" t="s">
        <v>5</v>
      </c>
      <c r="C106" s="4" t="s">
        <v>24</v>
      </c>
      <c r="D106" s="4" t="s">
        <v>33</v>
      </c>
      <c r="E106" s="4">
        <v>10</v>
      </c>
      <c r="F106" s="4">
        <v>34639</v>
      </c>
      <c r="G106" s="4">
        <v>346390</v>
      </c>
      <c r="H106" s="4">
        <v>136886</v>
      </c>
      <c r="I106" s="4"/>
      <c r="J106" s="4"/>
      <c r="K106" s="4"/>
      <c r="L106" s="6">
        <f t="shared" si="1"/>
        <v>2.53049983197697</v>
      </c>
      <c r="M106" s="4"/>
    </row>
    <row r="107" spans="1:13">
      <c r="A107" s="3">
        <v>45807</v>
      </c>
      <c r="B107" s="4" t="s">
        <v>7</v>
      </c>
      <c r="C107" s="4" t="s">
        <v>28</v>
      </c>
      <c r="D107" s="4" t="s">
        <v>25</v>
      </c>
      <c r="E107" s="4">
        <v>1</v>
      </c>
      <c r="F107" s="4">
        <v>21816</v>
      </c>
      <c r="G107" s="4">
        <v>21816</v>
      </c>
      <c r="H107" s="4">
        <v>197721</v>
      </c>
      <c r="I107" s="4"/>
      <c r="J107" s="4"/>
      <c r="K107" s="4"/>
      <c r="L107" s="6">
        <f t="shared" si="1"/>
        <v>0.110337293458965</v>
      </c>
      <c r="M107" s="4"/>
    </row>
    <row r="108" spans="1:13">
      <c r="A108" s="3">
        <v>45744</v>
      </c>
      <c r="B108" s="4" t="s">
        <v>4</v>
      </c>
      <c r="C108" s="4" t="s">
        <v>26</v>
      </c>
      <c r="D108" s="4" t="s">
        <v>31</v>
      </c>
      <c r="E108" s="4">
        <v>1</v>
      </c>
      <c r="F108" s="4">
        <v>39528</v>
      </c>
      <c r="G108" s="4">
        <v>39528</v>
      </c>
      <c r="H108" s="4">
        <v>107799</v>
      </c>
      <c r="I108" s="4"/>
      <c r="J108" s="4"/>
      <c r="K108" s="4"/>
      <c r="L108" s="6">
        <f t="shared" si="1"/>
        <v>0.366682436757298</v>
      </c>
      <c r="M108" s="4"/>
    </row>
    <row r="109" spans="1:13">
      <c r="A109" s="3">
        <v>45752</v>
      </c>
      <c r="B109" s="4" t="s">
        <v>6</v>
      </c>
      <c r="C109" s="4" t="s">
        <v>28</v>
      </c>
      <c r="D109" s="4" t="s">
        <v>25</v>
      </c>
      <c r="E109" s="4">
        <v>5</v>
      </c>
      <c r="F109" s="4">
        <v>48662</v>
      </c>
      <c r="G109" s="4">
        <v>243310</v>
      </c>
      <c r="H109" s="4">
        <v>58243</v>
      </c>
      <c r="I109" s="4"/>
      <c r="J109" s="4"/>
      <c r="K109" s="4"/>
      <c r="L109" s="6">
        <f t="shared" si="1"/>
        <v>4.1774977250485</v>
      </c>
      <c r="M109" s="4"/>
    </row>
    <row r="110" spans="1:13">
      <c r="A110" s="3">
        <v>45685</v>
      </c>
      <c r="B110" s="4" t="s">
        <v>2</v>
      </c>
      <c r="C110" s="4" t="s">
        <v>28</v>
      </c>
      <c r="D110" s="4" t="s">
        <v>32</v>
      </c>
      <c r="E110" s="4">
        <v>1</v>
      </c>
      <c r="F110" s="4">
        <v>42989</v>
      </c>
      <c r="G110" s="4">
        <v>42989</v>
      </c>
      <c r="H110" s="4">
        <v>21964</v>
      </c>
      <c r="I110" s="4"/>
      <c r="J110" s="4"/>
      <c r="K110" s="4"/>
      <c r="L110" s="6">
        <f t="shared" si="1"/>
        <v>1.95724822436715</v>
      </c>
      <c r="M110" s="4"/>
    </row>
    <row r="111" spans="1:13">
      <c r="A111" s="3">
        <v>45802</v>
      </c>
      <c r="B111" s="4" t="s">
        <v>6</v>
      </c>
      <c r="C111" s="4" t="s">
        <v>28</v>
      </c>
      <c r="D111" s="4" t="s">
        <v>23</v>
      </c>
      <c r="E111" s="4">
        <v>5</v>
      </c>
      <c r="F111" s="4">
        <v>44523</v>
      </c>
      <c r="G111" s="4">
        <v>222615</v>
      </c>
      <c r="H111" s="4">
        <v>9321</v>
      </c>
      <c r="I111" s="4"/>
      <c r="J111" s="4"/>
      <c r="K111" s="4"/>
      <c r="L111" s="6">
        <f t="shared" si="1"/>
        <v>23.8831670421629</v>
      </c>
      <c r="M111" s="4"/>
    </row>
    <row r="112" spans="1:13">
      <c r="A112" s="3">
        <v>45752</v>
      </c>
      <c r="B112" s="4" t="s">
        <v>2</v>
      </c>
      <c r="C112" s="4" t="s">
        <v>26</v>
      </c>
      <c r="D112" s="4" t="s">
        <v>29</v>
      </c>
      <c r="E112" s="4">
        <v>5</v>
      </c>
      <c r="F112" s="4">
        <v>45939</v>
      </c>
      <c r="G112" s="4">
        <v>229695</v>
      </c>
      <c r="H112" s="4">
        <v>168940</v>
      </c>
      <c r="I112" s="4"/>
      <c r="J112" s="4"/>
      <c r="K112" s="4"/>
      <c r="L112" s="6">
        <f t="shared" si="1"/>
        <v>1.35962471883509</v>
      </c>
      <c r="M112" s="4"/>
    </row>
    <row r="113" spans="1:13">
      <c r="A113" s="3">
        <v>45707</v>
      </c>
      <c r="B113" s="4" t="s">
        <v>4</v>
      </c>
      <c r="C113" s="4" t="s">
        <v>22</v>
      </c>
      <c r="D113" s="4" t="s">
        <v>32</v>
      </c>
      <c r="E113" s="4">
        <v>4</v>
      </c>
      <c r="F113" s="4">
        <v>35039</v>
      </c>
      <c r="G113" s="4">
        <v>140156</v>
      </c>
      <c r="H113" s="4">
        <v>112737</v>
      </c>
      <c r="I113" s="4"/>
      <c r="J113" s="4"/>
      <c r="K113" s="4"/>
      <c r="L113" s="6">
        <f t="shared" si="1"/>
        <v>1.24321207766749</v>
      </c>
      <c r="M113" s="4"/>
    </row>
    <row r="114" spans="1:13">
      <c r="A114" s="3">
        <v>45814</v>
      </c>
      <c r="B114" s="4" t="s">
        <v>4</v>
      </c>
      <c r="C114" s="4" t="s">
        <v>28</v>
      </c>
      <c r="D114" s="4" t="s">
        <v>32</v>
      </c>
      <c r="E114" s="4">
        <v>6</v>
      </c>
      <c r="F114" s="4">
        <v>18695</v>
      </c>
      <c r="G114" s="4">
        <v>112170</v>
      </c>
      <c r="H114" s="4">
        <v>98813</v>
      </c>
      <c r="I114" s="4"/>
      <c r="J114" s="4"/>
      <c r="K114" s="4"/>
      <c r="L114" s="6">
        <f t="shared" si="1"/>
        <v>1.13517452157105</v>
      </c>
      <c r="M114" s="4"/>
    </row>
    <row r="115" spans="1:13">
      <c r="A115" s="3">
        <v>45786</v>
      </c>
      <c r="B115" s="4" t="s">
        <v>4</v>
      </c>
      <c r="C115" s="4" t="s">
        <v>24</v>
      </c>
      <c r="D115" s="4" t="s">
        <v>25</v>
      </c>
      <c r="E115" s="4">
        <v>7</v>
      </c>
      <c r="F115" s="4">
        <v>24844</v>
      </c>
      <c r="G115" s="4">
        <v>173908</v>
      </c>
      <c r="H115" s="4">
        <v>96619</v>
      </c>
      <c r="I115" s="4"/>
      <c r="J115" s="4"/>
      <c r="K115" s="4"/>
      <c r="L115" s="6">
        <f t="shared" si="1"/>
        <v>1.79993583042673</v>
      </c>
      <c r="M115" s="4"/>
    </row>
    <row r="116" spans="1:13">
      <c r="A116" s="3">
        <v>45728</v>
      </c>
      <c r="B116" s="4" t="s">
        <v>3</v>
      </c>
      <c r="C116" s="4" t="s">
        <v>24</v>
      </c>
      <c r="D116" s="4" t="s">
        <v>31</v>
      </c>
      <c r="E116" s="4">
        <v>8</v>
      </c>
      <c r="F116" s="4">
        <v>29514</v>
      </c>
      <c r="G116" s="4">
        <v>236112</v>
      </c>
      <c r="H116" s="4">
        <v>124024</v>
      </c>
      <c r="I116" s="4"/>
      <c r="J116" s="4"/>
      <c r="K116" s="4"/>
      <c r="L116" s="6">
        <f t="shared" si="1"/>
        <v>1.90376056247178</v>
      </c>
      <c r="M116" s="4"/>
    </row>
    <row r="117" spans="1:13">
      <c r="A117" s="3">
        <v>45770</v>
      </c>
      <c r="B117" s="4" t="s">
        <v>4</v>
      </c>
      <c r="C117" s="4" t="s">
        <v>24</v>
      </c>
      <c r="D117" s="4" t="s">
        <v>29</v>
      </c>
      <c r="E117" s="4">
        <v>7</v>
      </c>
      <c r="F117" s="4">
        <v>7530</v>
      </c>
      <c r="G117" s="4">
        <v>52710</v>
      </c>
      <c r="H117" s="4">
        <v>193326</v>
      </c>
      <c r="I117" s="4"/>
      <c r="J117" s="4"/>
      <c r="K117" s="4"/>
      <c r="L117" s="6">
        <f t="shared" si="1"/>
        <v>0.272648272865523</v>
      </c>
      <c r="M117" s="4"/>
    </row>
    <row r="118" spans="1:13">
      <c r="A118" s="3">
        <v>45662</v>
      </c>
      <c r="B118" s="4" t="s">
        <v>6</v>
      </c>
      <c r="C118" s="4" t="s">
        <v>22</v>
      </c>
      <c r="D118" s="4" t="s">
        <v>27</v>
      </c>
      <c r="E118" s="4">
        <v>8</v>
      </c>
      <c r="F118" s="4">
        <v>14032</v>
      </c>
      <c r="G118" s="4">
        <v>112256</v>
      </c>
      <c r="H118" s="4">
        <v>139143</v>
      </c>
      <c r="I118" s="4"/>
      <c r="J118" s="4"/>
      <c r="K118" s="4"/>
      <c r="L118" s="6">
        <f t="shared" si="1"/>
        <v>0.806767138842773</v>
      </c>
      <c r="M118" s="4"/>
    </row>
    <row r="119" spans="1:13">
      <c r="A119" s="3">
        <v>45779</v>
      </c>
      <c r="B119" s="4" t="s">
        <v>2</v>
      </c>
      <c r="C119" s="4" t="s">
        <v>24</v>
      </c>
      <c r="D119" s="4" t="s">
        <v>30</v>
      </c>
      <c r="E119" s="4">
        <v>2</v>
      </c>
      <c r="F119" s="4">
        <v>35750</v>
      </c>
      <c r="G119" s="4">
        <v>71500</v>
      </c>
      <c r="H119" s="4">
        <v>59687</v>
      </c>
      <c r="I119" s="4"/>
      <c r="J119" s="4"/>
      <c r="K119" s="4"/>
      <c r="L119" s="6">
        <f t="shared" si="1"/>
        <v>1.19791579405901</v>
      </c>
      <c r="M119" s="4"/>
    </row>
    <row r="120" spans="1:13">
      <c r="A120" s="3">
        <v>45825</v>
      </c>
      <c r="B120" s="4" t="s">
        <v>2</v>
      </c>
      <c r="C120" s="4" t="s">
        <v>28</v>
      </c>
      <c r="D120" s="4" t="s">
        <v>27</v>
      </c>
      <c r="E120" s="4">
        <v>2</v>
      </c>
      <c r="F120" s="4">
        <v>34942</v>
      </c>
      <c r="G120" s="4">
        <v>69884</v>
      </c>
      <c r="H120" s="4">
        <v>111218</v>
      </c>
      <c r="I120" s="4"/>
      <c r="J120" s="4"/>
      <c r="K120" s="4"/>
      <c r="L120" s="6">
        <f t="shared" si="1"/>
        <v>0.628351525832149</v>
      </c>
      <c r="M120" s="4"/>
    </row>
    <row r="121" spans="1:13">
      <c r="A121" s="3">
        <v>45834</v>
      </c>
      <c r="B121" s="4" t="s">
        <v>8</v>
      </c>
      <c r="C121" s="4" t="s">
        <v>22</v>
      </c>
      <c r="D121" s="4" t="s">
        <v>32</v>
      </c>
      <c r="E121" s="4">
        <v>2</v>
      </c>
      <c r="F121" s="4">
        <v>8510</v>
      </c>
      <c r="G121" s="4">
        <v>17020</v>
      </c>
      <c r="H121" s="4">
        <v>142256</v>
      </c>
      <c r="I121" s="4"/>
      <c r="J121" s="4"/>
      <c r="K121" s="4"/>
      <c r="L121" s="6">
        <f t="shared" si="1"/>
        <v>0.119643459678326</v>
      </c>
      <c r="M121" s="4"/>
    </row>
    <row r="122" spans="1:13">
      <c r="A122" s="3">
        <v>45691</v>
      </c>
      <c r="B122" s="4" t="s">
        <v>5</v>
      </c>
      <c r="C122" s="4" t="s">
        <v>28</v>
      </c>
      <c r="D122" s="4" t="s">
        <v>25</v>
      </c>
      <c r="E122" s="4">
        <v>9</v>
      </c>
      <c r="F122" s="4">
        <v>28612</v>
      </c>
      <c r="G122" s="4">
        <v>257508</v>
      </c>
      <c r="H122" s="4">
        <v>24883</v>
      </c>
      <c r="I122" s="4"/>
      <c r="J122" s="4"/>
      <c r="K122" s="4"/>
      <c r="L122" s="6">
        <f t="shared" si="1"/>
        <v>10.3487521601093</v>
      </c>
      <c r="M122" s="4"/>
    </row>
    <row r="123" spans="1:13">
      <c r="A123" s="3">
        <v>45671</v>
      </c>
      <c r="B123" s="4" t="s">
        <v>7</v>
      </c>
      <c r="C123" s="4" t="s">
        <v>28</v>
      </c>
      <c r="D123" s="4" t="s">
        <v>30</v>
      </c>
      <c r="E123" s="4">
        <v>5</v>
      </c>
      <c r="F123" s="4">
        <v>7044</v>
      </c>
      <c r="G123" s="4">
        <v>35220</v>
      </c>
      <c r="H123" s="4">
        <v>102900</v>
      </c>
      <c r="I123" s="4"/>
      <c r="J123" s="4"/>
      <c r="K123" s="4"/>
      <c r="L123" s="6">
        <f t="shared" si="1"/>
        <v>0.342274052478134</v>
      </c>
      <c r="M123" s="4"/>
    </row>
    <row r="124" spans="1:13">
      <c r="A124" s="3">
        <v>45701</v>
      </c>
      <c r="B124" s="4" t="s">
        <v>5</v>
      </c>
      <c r="C124" s="4" t="s">
        <v>22</v>
      </c>
      <c r="D124" s="4" t="s">
        <v>25</v>
      </c>
      <c r="E124" s="4">
        <v>5</v>
      </c>
      <c r="F124" s="4">
        <v>39889</v>
      </c>
      <c r="G124" s="4">
        <v>199445</v>
      </c>
      <c r="H124" s="4">
        <v>118922</v>
      </c>
      <c r="I124" s="4"/>
      <c r="J124" s="4"/>
      <c r="K124" s="4"/>
      <c r="L124" s="6">
        <f t="shared" si="1"/>
        <v>1.67710768402819</v>
      </c>
      <c r="M124" s="4"/>
    </row>
    <row r="125" spans="1:13">
      <c r="A125" s="3">
        <v>45804</v>
      </c>
      <c r="B125" s="4" t="s">
        <v>7</v>
      </c>
      <c r="C125" s="4" t="s">
        <v>26</v>
      </c>
      <c r="D125" s="4" t="s">
        <v>30</v>
      </c>
      <c r="E125" s="4">
        <v>2</v>
      </c>
      <c r="F125" s="4">
        <v>38008</v>
      </c>
      <c r="G125" s="4">
        <v>76016</v>
      </c>
      <c r="H125" s="4">
        <v>111285</v>
      </c>
      <c r="I125" s="4"/>
      <c r="J125" s="4"/>
      <c r="K125" s="4"/>
      <c r="L125" s="6">
        <f t="shared" si="1"/>
        <v>0.683074987644337</v>
      </c>
      <c r="M125" s="4"/>
    </row>
    <row r="126" spans="1:13">
      <c r="A126" s="3">
        <v>45788</v>
      </c>
      <c r="B126" s="4" t="s">
        <v>7</v>
      </c>
      <c r="C126" s="4" t="s">
        <v>26</v>
      </c>
      <c r="D126" s="4" t="s">
        <v>33</v>
      </c>
      <c r="E126" s="4">
        <v>7</v>
      </c>
      <c r="F126" s="4">
        <v>811</v>
      </c>
      <c r="G126" s="4">
        <v>5677</v>
      </c>
      <c r="H126" s="4">
        <v>44164</v>
      </c>
      <c r="I126" s="4"/>
      <c r="J126" s="4"/>
      <c r="K126" s="4"/>
      <c r="L126" s="6">
        <f t="shared" si="1"/>
        <v>0.128543610180237</v>
      </c>
      <c r="M126" s="4"/>
    </row>
    <row r="127" spans="1:13">
      <c r="A127" s="3">
        <v>45708</v>
      </c>
      <c r="B127" s="4" t="s">
        <v>6</v>
      </c>
      <c r="C127" s="4" t="s">
        <v>28</v>
      </c>
      <c r="D127" s="4" t="s">
        <v>27</v>
      </c>
      <c r="E127" s="4">
        <v>10</v>
      </c>
      <c r="F127" s="4">
        <v>46234</v>
      </c>
      <c r="G127" s="4">
        <v>462340</v>
      </c>
      <c r="H127" s="4">
        <v>178133</v>
      </c>
      <c r="I127" s="4"/>
      <c r="J127" s="4"/>
      <c r="K127" s="4"/>
      <c r="L127" s="6">
        <f t="shared" si="1"/>
        <v>2.59547641369089</v>
      </c>
      <c r="M127" s="4"/>
    </row>
    <row r="128" spans="1:13">
      <c r="A128" s="3">
        <v>45706</v>
      </c>
      <c r="B128" s="4" t="s">
        <v>6</v>
      </c>
      <c r="C128" s="4" t="s">
        <v>26</v>
      </c>
      <c r="D128" s="4" t="s">
        <v>29</v>
      </c>
      <c r="E128" s="4">
        <v>6</v>
      </c>
      <c r="F128" s="4">
        <v>38014</v>
      </c>
      <c r="G128" s="4">
        <v>228084</v>
      </c>
      <c r="H128" s="4">
        <v>125949</v>
      </c>
      <c r="I128" s="4"/>
      <c r="J128" s="4"/>
      <c r="K128" s="4"/>
      <c r="L128" s="6">
        <f t="shared" si="1"/>
        <v>1.81092346902318</v>
      </c>
      <c r="M128" s="4"/>
    </row>
    <row r="129" spans="1:13">
      <c r="A129" s="3">
        <v>45794</v>
      </c>
      <c r="B129" s="4" t="s">
        <v>8</v>
      </c>
      <c r="C129" s="4" t="s">
        <v>28</v>
      </c>
      <c r="D129" s="4" t="s">
        <v>31</v>
      </c>
      <c r="E129" s="4">
        <v>3</v>
      </c>
      <c r="F129" s="4">
        <v>42121</v>
      </c>
      <c r="G129" s="4">
        <v>126363</v>
      </c>
      <c r="H129" s="4">
        <v>174099</v>
      </c>
      <c r="I129" s="4"/>
      <c r="J129" s="4"/>
      <c r="K129" s="4"/>
      <c r="L129" s="6">
        <f t="shared" si="1"/>
        <v>0.725811176399635</v>
      </c>
      <c r="M129" s="4"/>
    </row>
    <row r="130" spans="1:13">
      <c r="A130" s="3">
        <v>45778</v>
      </c>
      <c r="B130" s="4" t="s">
        <v>8</v>
      </c>
      <c r="C130" s="4" t="s">
        <v>24</v>
      </c>
      <c r="D130" s="4" t="s">
        <v>31</v>
      </c>
      <c r="E130" s="4">
        <v>8</v>
      </c>
      <c r="F130" s="4">
        <v>3918</v>
      </c>
      <c r="G130" s="4">
        <v>31344</v>
      </c>
      <c r="H130" s="4">
        <v>146873</v>
      </c>
      <c r="I130" s="4"/>
      <c r="J130" s="4"/>
      <c r="K130" s="4"/>
      <c r="L130" s="6">
        <f t="shared" si="1"/>
        <v>0.213408863439843</v>
      </c>
      <c r="M130" s="4"/>
    </row>
    <row r="131" spans="1:13">
      <c r="A131" s="3">
        <v>45683</v>
      </c>
      <c r="B131" s="4" t="s">
        <v>7</v>
      </c>
      <c r="C131" s="4" t="s">
        <v>24</v>
      </c>
      <c r="D131" s="4" t="s">
        <v>25</v>
      </c>
      <c r="E131" s="4">
        <v>4</v>
      </c>
      <c r="F131" s="4">
        <v>21820</v>
      </c>
      <c r="G131" s="4">
        <v>87280</v>
      </c>
      <c r="H131" s="4">
        <v>175414</v>
      </c>
      <c r="I131" s="4"/>
      <c r="J131" s="4"/>
      <c r="K131" s="4"/>
      <c r="L131" s="6">
        <f t="shared" ref="L131:L194" si="2">G131/H131</f>
        <v>0.497565758719372</v>
      </c>
      <c r="M131" s="4"/>
    </row>
    <row r="132" spans="1:13">
      <c r="A132" s="3">
        <v>45830</v>
      </c>
      <c r="B132" s="4" t="s">
        <v>7</v>
      </c>
      <c r="C132" s="4" t="s">
        <v>28</v>
      </c>
      <c r="D132" s="4" t="s">
        <v>32</v>
      </c>
      <c r="E132" s="4">
        <v>9</v>
      </c>
      <c r="F132" s="4">
        <v>17711</v>
      </c>
      <c r="G132" s="4">
        <v>159399</v>
      </c>
      <c r="H132" s="4">
        <v>124399</v>
      </c>
      <c r="I132" s="4"/>
      <c r="J132" s="4"/>
      <c r="K132" s="4"/>
      <c r="L132" s="6">
        <f t="shared" si="2"/>
        <v>1.28135274399312</v>
      </c>
      <c r="M132" s="4"/>
    </row>
    <row r="133" spans="1:13">
      <c r="A133" s="3">
        <v>45752</v>
      </c>
      <c r="B133" s="4" t="s">
        <v>4</v>
      </c>
      <c r="C133" s="4" t="s">
        <v>26</v>
      </c>
      <c r="D133" s="4" t="s">
        <v>30</v>
      </c>
      <c r="E133" s="4">
        <v>9</v>
      </c>
      <c r="F133" s="4">
        <v>43245</v>
      </c>
      <c r="G133" s="4">
        <v>389205</v>
      </c>
      <c r="H133" s="4">
        <v>30241</v>
      </c>
      <c r="I133" s="4"/>
      <c r="J133" s="4"/>
      <c r="K133" s="4"/>
      <c r="L133" s="6">
        <f t="shared" si="2"/>
        <v>12.8701101154062</v>
      </c>
      <c r="M133" s="4"/>
    </row>
    <row r="134" spans="1:13">
      <c r="A134" s="3">
        <v>45683</v>
      </c>
      <c r="B134" s="4" t="s">
        <v>5</v>
      </c>
      <c r="C134" s="4" t="s">
        <v>26</v>
      </c>
      <c r="D134" s="4" t="s">
        <v>30</v>
      </c>
      <c r="E134" s="4">
        <v>6</v>
      </c>
      <c r="F134" s="4">
        <v>38752</v>
      </c>
      <c r="G134" s="4">
        <v>232512</v>
      </c>
      <c r="H134" s="4">
        <v>149004</v>
      </c>
      <c r="I134" s="4"/>
      <c r="J134" s="4"/>
      <c r="K134" s="4"/>
      <c r="L134" s="6">
        <f t="shared" si="2"/>
        <v>1.56044133043408</v>
      </c>
      <c r="M134" s="4"/>
    </row>
    <row r="135" spans="1:13">
      <c r="A135" s="3">
        <v>45673</v>
      </c>
      <c r="B135" s="4" t="s">
        <v>6</v>
      </c>
      <c r="C135" s="4" t="s">
        <v>28</v>
      </c>
      <c r="D135" s="4" t="s">
        <v>30</v>
      </c>
      <c r="E135" s="4">
        <v>2</v>
      </c>
      <c r="F135" s="4">
        <v>12289</v>
      </c>
      <c r="G135" s="4">
        <v>24578</v>
      </c>
      <c r="H135" s="4">
        <v>123636</v>
      </c>
      <c r="I135" s="4"/>
      <c r="J135" s="4"/>
      <c r="K135" s="4"/>
      <c r="L135" s="6">
        <f t="shared" si="2"/>
        <v>0.198793231744799</v>
      </c>
      <c r="M135" s="4"/>
    </row>
    <row r="136" spans="1:13">
      <c r="A136" s="3">
        <v>45668</v>
      </c>
      <c r="B136" s="4" t="s">
        <v>5</v>
      </c>
      <c r="C136" s="4" t="s">
        <v>22</v>
      </c>
      <c r="D136" s="4" t="s">
        <v>30</v>
      </c>
      <c r="E136" s="4">
        <v>8</v>
      </c>
      <c r="F136" s="4">
        <v>25902</v>
      </c>
      <c r="G136" s="4">
        <v>207216</v>
      </c>
      <c r="H136" s="4">
        <v>183269</v>
      </c>
      <c r="I136" s="4"/>
      <c r="J136" s="4"/>
      <c r="K136" s="4"/>
      <c r="L136" s="6">
        <f t="shared" si="2"/>
        <v>1.13066585183528</v>
      </c>
      <c r="M136" s="4"/>
    </row>
    <row r="137" spans="1:13">
      <c r="A137" s="3">
        <v>45837</v>
      </c>
      <c r="B137" s="4" t="s">
        <v>7</v>
      </c>
      <c r="C137" s="4" t="s">
        <v>28</v>
      </c>
      <c r="D137" s="4" t="s">
        <v>30</v>
      </c>
      <c r="E137" s="4">
        <v>5</v>
      </c>
      <c r="F137" s="4">
        <v>17640</v>
      </c>
      <c r="G137" s="4">
        <v>88200</v>
      </c>
      <c r="H137" s="4">
        <v>143961</v>
      </c>
      <c r="I137" s="4"/>
      <c r="J137" s="4"/>
      <c r="K137" s="4"/>
      <c r="L137" s="6">
        <f t="shared" si="2"/>
        <v>0.612665930356138</v>
      </c>
      <c r="M137" s="4"/>
    </row>
    <row r="138" spans="1:13">
      <c r="A138" s="3">
        <v>45708</v>
      </c>
      <c r="B138" s="4" t="s">
        <v>8</v>
      </c>
      <c r="C138" s="4" t="s">
        <v>22</v>
      </c>
      <c r="D138" s="4" t="s">
        <v>23</v>
      </c>
      <c r="E138" s="4">
        <v>5</v>
      </c>
      <c r="F138" s="4">
        <v>30502</v>
      </c>
      <c r="G138" s="4">
        <v>152510</v>
      </c>
      <c r="H138" s="4">
        <v>36515</v>
      </c>
      <c r="I138" s="4"/>
      <c r="J138" s="4"/>
      <c r="K138" s="4"/>
      <c r="L138" s="6">
        <f t="shared" si="2"/>
        <v>4.17663973709434</v>
      </c>
      <c r="M138" s="4"/>
    </row>
    <row r="139" spans="1:13">
      <c r="A139" s="3">
        <v>45723</v>
      </c>
      <c r="B139" s="4" t="s">
        <v>2</v>
      </c>
      <c r="C139" s="4" t="s">
        <v>26</v>
      </c>
      <c r="D139" s="4" t="s">
        <v>23</v>
      </c>
      <c r="E139" s="4">
        <v>4</v>
      </c>
      <c r="F139" s="4">
        <v>43847</v>
      </c>
      <c r="G139" s="4">
        <v>175388</v>
      </c>
      <c r="H139" s="4">
        <v>87797</v>
      </c>
      <c r="I139" s="4"/>
      <c r="J139" s="4"/>
      <c r="K139" s="4"/>
      <c r="L139" s="6">
        <f t="shared" si="2"/>
        <v>1.9976536783717</v>
      </c>
      <c r="M139" s="4"/>
    </row>
    <row r="140" spans="1:13">
      <c r="A140" s="3">
        <v>45726</v>
      </c>
      <c r="B140" s="4" t="s">
        <v>6</v>
      </c>
      <c r="C140" s="4" t="s">
        <v>26</v>
      </c>
      <c r="D140" s="4" t="s">
        <v>23</v>
      </c>
      <c r="E140" s="4">
        <v>2</v>
      </c>
      <c r="F140" s="4">
        <v>17421</v>
      </c>
      <c r="G140" s="4">
        <v>34842</v>
      </c>
      <c r="H140" s="4">
        <v>31431</v>
      </c>
      <c r="I140" s="4"/>
      <c r="J140" s="4"/>
      <c r="K140" s="4"/>
      <c r="L140" s="6">
        <f t="shared" si="2"/>
        <v>1.10852343228023</v>
      </c>
      <c r="M140" s="4"/>
    </row>
    <row r="141" spans="1:13">
      <c r="A141" s="3">
        <v>45715</v>
      </c>
      <c r="B141" s="4" t="s">
        <v>5</v>
      </c>
      <c r="C141" s="4" t="s">
        <v>22</v>
      </c>
      <c r="D141" s="4" t="s">
        <v>33</v>
      </c>
      <c r="E141" s="4">
        <v>5</v>
      </c>
      <c r="F141" s="4">
        <v>43763</v>
      </c>
      <c r="G141" s="4">
        <v>218815</v>
      </c>
      <c r="H141" s="4">
        <v>51029</v>
      </c>
      <c r="I141" s="4"/>
      <c r="J141" s="4"/>
      <c r="K141" s="4"/>
      <c r="L141" s="6">
        <f t="shared" si="2"/>
        <v>4.28805189206138</v>
      </c>
      <c r="M141" s="4"/>
    </row>
    <row r="142" spans="1:13">
      <c r="A142" s="3">
        <v>45789</v>
      </c>
      <c r="B142" s="4" t="s">
        <v>5</v>
      </c>
      <c r="C142" s="4" t="s">
        <v>22</v>
      </c>
      <c r="D142" s="4" t="s">
        <v>29</v>
      </c>
      <c r="E142" s="4">
        <v>10</v>
      </c>
      <c r="F142" s="4">
        <v>12233</v>
      </c>
      <c r="G142" s="4">
        <v>122330</v>
      </c>
      <c r="H142" s="4">
        <v>104323</v>
      </c>
      <c r="I142" s="4"/>
      <c r="J142" s="4"/>
      <c r="K142" s="4"/>
      <c r="L142" s="6">
        <f t="shared" si="2"/>
        <v>1.17260814968895</v>
      </c>
      <c r="M142" s="4"/>
    </row>
    <row r="143" spans="1:13">
      <c r="A143" s="3">
        <v>45769</v>
      </c>
      <c r="B143" s="4" t="s">
        <v>4</v>
      </c>
      <c r="C143" s="4" t="s">
        <v>22</v>
      </c>
      <c r="D143" s="4" t="s">
        <v>33</v>
      </c>
      <c r="E143" s="4">
        <v>6</v>
      </c>
      <c r="F143" s="4">
        <v>33681</v>
      </c>
      <c r="G143" s="4">
        <v>202086</v>
      </c>
      <c r="H143" s="4">
        <v>48471</v>
      </c>
      <c r="I143" s="4"/>
      <c r="J143" s="4"/>
      <c r="K143" s="4"/>
      <c r="L143" s="6">
        <f t="shared" si="2"/>
        <v>4.16921458191496</v>
      </c>
      <c r="M143" s="4"/>
    </row>
    <row r="144" spans="1:13">
      <c r="A144" s="3">
        <v>45746</v>
      </c>
      <c r="B144" s="4" t="s">
        <v>8</v>
      </c>
      <c r="C144" s="4" t="s">
        <v>26</v>
      </c>
      <c r="D144" s="4" t="s">
        <v>25</v>
      </c>
      <c r="E144" s="4">
        <v>1</v>
      </c>
      <c r="F144" s="4">
        <v>37238</v>
      </c>
      <c r="G144" s="4">
        <v>37238</v>
      </c>
      <c r="H144" s="4">
        <v>196328</v>
      </c>
      <c r="I144" s="4"/>
      <c r="J144" s="4"/>
      <c r="K144" s="4"/>
      <c r="L144" s="6">
        <f t="shared" si="2"/>
        <v>0.189672384988387</v>
      </c>
      <c r="M144" s="4"/>
    </row>
    <row r="145" spans="1:13">
      <c r="A145" s="3">
        <v>45832</v>
      </c>
      <c r="B145" s="4" t="s">
        <v>5</v>
      </c>
      <c r="C145" s="4" t="s">
        <v>22</v>
      </c>
      <c r="D145" s="4" t="s">
        <v>32</v>
      </c>
      <c r="E145" s="4">
        <v>6</v>
      </c>
      <c r="F145" s="4">
        <v>34150</v>
      </c>
      <c r="G145" s="4">
        <v>204900</v>
      </c>
      <c r="H145" s="4">
        <v>20310</v>
      </c>
      <c r="I145" s="4"/>
      <c r="J145" s="4"/>
      <c r="K145" s="4"/>
      <c r="L145" s="6">
        <f t="shared" si="2"/>
        <v>10.0886262924668</v>
      </c>
      <c r="M145" s="4"/>
    </row>
    <row r="146" spans="1:13">
      <c r="A146" s="3">
        <v>45788</v>
      </c>
      <c r="B146" s="4" t="s">
        <v>2</v>
      </c>
      <c r="C146" s="4" t="s">
        <v>22</v>
      </c>
      <c r="D146" s="4" t="s">
        <v>23</v>
      </c>
      <c r="E146" s="4">
        <v>5</v>
      </c>
      <c r="F146" s="4">
        <v>40303</v>
      </c>
      <c r="G146" s="4">
        <v>201515</v>
      </c>
      <c r="H146" s="4">
        <v>72721</v>
      </c>
      <c r="I146" s="4"/>
      <c r="J146" s="4"/>
      <c r="K146" s="4"/>
      <c r="L146" s="6">
        <f t="shared" si="2"/>
        <v>2.77107025480948</v>
      </c>
      <c r="M146" s="4"/>
    </row>
    <row r="147" spans="1:13">
      <c r="A147" s="3">
        <v>45730</v>
      </c>
      <c r="B147" s="4" t="s">
        <v>6</v>
      </c>
      <c r="C147" s="4" t="s">
        <v>22</v>
      </c>
      <c r="D147" s="4" t="s">
        <v>30</v>
      </c>
      <c r="E147" s="4">
        <v>8</v>
      </c>
      <c r="F147" s="4">
        <v>13594</v>
      </c>
      <c r="G147" s="4">
        <v>108752</v>
      </c>
      <c r="H147" s="4">
        <v>176941</v>
      </c>
      <c r="I147" s="4"/>
      <c r="J147" s="4"/>
      <c r="K147" s="4"/>
      <c r="L147" s="6">
        <f t="shared" si="2"/>
        <v>0.61462295341385</v>
      </c>
      <c r="M147" s="4"/>
    </row>
    <row r="148" spans="1:13">
      <c r="A148" s="3">
        <v>45760</v>
      </c>
      <c r="B148" s="4" t="s">
        <v>5</v>
      </c>
      <c r="C148" s="4" t="s">
        <v>26</v>
      </c>
      <c r="D148" s="4" t="s">
        <v>30</v>
      </c>
      <c r="E148" s="4">
        <v>5</v>
      </c>
      <c r="F148" s="4">
        <v>14541</v>
      </c>
      <c r="G148" s="4">
        <v>72705</v>
      </c>
      <c r="H148" s="4">
        <v>67566</v>
      </c>
      <c r="I148" s="4"/>
      <c r="J148" s="4"/>
      <c r="K148" s="4"/>
      <c r="L148" s="6">
        <f t="shared" si="2"/>
        <v>1.07605896456798</v>
      </c>
      <c r="M148" s="4"/>
    </row>
    <row r="149" spans="1:13">
      <c r="A149" s="3">
        <v>45808</v>
      </c>
      <c r="B149" s="4" t="s">
        <v>5</v>
      </c>
      <c r="C149" s="4" t="s">
        <v>24</v>
      </c>
      <c r="D149" s="4" t="s">
        <v>31</v>
      </c>
      <c r="E149" s="4">
        <v>3</v>
      </c>
      <c r="F149" s="4">
        <v>2510</v>
      </c>
      <c r="G149" s="4">
        <v>7530</v>
      </c>
      <c r="H149" s="4">
        <v>74738</v>
      </c>
      <c r="I149" s="4"/>
      <c r="J149" s="4"/>
      <c r="K149" s="4"/>
      <c r="L149" s="6">
        <f t="shared" si="2"/>
        <v>0.100751960180899</v>
      </c>
      <c r="M149" s="4"/>
    </row>
    <row r="150" spans="1:13">
      <c r="A150" s="3">
        <v>45680</v>
      </c>
      <c r="B150" s="4" t="s">
        <v>6</v>
      </c>
      <c r="C150" s="4" t="s">
        <v>24</v>
      </c>
      <c r="D150" s="4" t="s">
        <v>23</v>
      </c>
      <c r="E150" s="4">
        <v>3</v>
      </c>
      <c r="F150" s="4">
        <v>26161</v>
      </c>
      <c r="G150" s="4">
        <v>78483</v>
      </c>
      <c r="H150" s="4">
        <v>6812</v>
      </c>
      <c r="I150" s="4"/>
      <c r="J150" s="4"/>
      <c r="K150" s="4"/>
      <c r="L150" s="6">
        <f t="shared" si="2"/>
        <v>11.5212859659425</v>
      </c>
      <c r="M150" s="4"/>
    </row>
    <row r="151" spans="1:13">
      <c r="A151" s="3">
        <v>45695</v>
      </c>
      <c r="B151" s="4" t="s">
        <v>8</v>
      </c>
      <c r="C151" s="4" t="s">
        <v>28</v>
      </c>
      <c r="D151" s="4" t="s">
        <v>23</v>
      </c>
      <c r="E151" s="4">
        <v>7</v>
      </c>
      <c r="F151" s="4">
        <v>18172</v>
      </c>
      <c r="G151" s="4">
        <v>127204</v>
      </c>
      <c r="H151" s="4">
        <v>119534</v>
      </c>
      <c r="I151" s="4"/>
      <c r="J151" s="4"/>
      <c r="K151" s="4"/>
      <c r="L151" s="6">
        <f t="shared" si="2"/>
        <v>1.06416584402764</v>
      </c>
      <c r="M151" s="4"/>
    </row>
    <row r="152" spans="1:13">
      <c r="A152" s="3">
        <v>45775</v>
      </c>
      <c r="B152" s="4" t="s">
        <v>4</v>
      </c>
      <c r="C152" s="4" t="s">
        <v>28</v>
      </c>
      <c r="D152" s="4" t="s">
        <v>32</v>
      </c>
      <c r="E152" s="4">
        <v>10</v>
      </c>
      <c r="F152" s="4">
        <v>2973</v>
      </c>
      <c r="G152" s="4">
        <v>29730</v>
      </c>
      <c r="H152" s="4">
        <v>162466</v>
      </c>
      <c r="I152" s="4"/>
      <c r="J152" s="4"/>
      <c r="K152" s="4"/>
      <c r="L152" s="6">
        <f t="shared" si="2"/>
        <v>0.182992133738752</v>
      </c>
      <c r="M152" s="4"/>
    </row>
    <row r="153" spans="1:13">
      <c r="A153" s="3">
        <v>45766</v>
      </c>
      <c r="B153" s="4" t="s">
        <v>6</v>
      </c>
      <c r="C153" s="4" t="s">
        <v>24</v>
      </c>
      <c r="D153" s="4" t="s">
        <v>33</v>
      </c>
      <c r="E153" s="4">
        <v>7</v>
      </c>
      <c r="F153" s="4">
        <v>2410</v>
      </c>
      <c r="G153" s="4">
        <v>16870</v>
      </c>
      <c r="H153" s="4">
        <v>12889</v>
      </c>
      <c r="I153" s="4"/>
      <c r="J153" s="4"/>
      <c r="K153" s="4"/>
      <c r="L153" s="6">
        <f t="shared" si="2"/>
        <v>1.30886802699977</v>
      </c>
      <c r="M153" s="4"/>
    </row>
    <row r="154" spans="1:13">
      <c r="A154" s="3">
        <v>45762</v>
      </c>
      <c r="B154" s="4" t="s">
        <v>3</v>
      </c>
      <c r="C154" s="4" t="s">
        <v>26</v>
      </c>
      <c r="D154" s="4" t="s">
        <v>32</v>
      </c>
      <c r="E154" s="4">
        <v>10</v>
      </c>
      <c r="F154" s="4">
        <v>48460</v>
      </c>
      <c r="G154" s="4">
        <v>484600</v>
      </c>
      <c r="H154" s="4">
        <v>20169</v>
      </c>
      <c r="I154" s="4"/>
      <c r="J154" s="4"/>
      <c r="K154" s="4"/>
      <c r="L154" s="6">
        <f t="shared" si="2"/>
        <v>24.0269720858744</v>
      </c>
      <c r="M154" s="4"/>
    </row>
    <row r="155" spans="1:13">
      <c r="A155" s="3">
        <v>45703</v>
      </c>
      <c r="B155" s="4" t="s">
        <v>5</v>
      </c>
      <c r="C155" s="4" t="s">
        <v>24</v>
      </c>
      <c r="D155" s="4" t="s">
        <v>27</v>
      </c>
      <c r="E155" s="4">
        <v>5</v>
      </c>
      <c r="F155" s="4">
        <v>30720</v>
      </c>
      <c r="G155" s="4">
        <v>153600</v>
      </c>
      <c r="H155" s="4">
        <v>176776</v>
      </c>
      <c r="I155" s="4"/>
      <c r="J155" s="4"/>
      <c r="K155" s="4"/>
      <c r="L155" s="6">
        <f t="shared" si="2"/>
        <v>0.868896230257501</v>
      </c>
      <c r="M155" s="4"/>
    </row>
    <row r="156" spans="1:13">
      <c r="A156" s="3">
        <v>45791</v>
      </c>
      <c r="B156" s="4" t="s">
        <v>8</v>
      </c>
      <c r="C156" s="4" t="s">
        <v>24</v>
      </c>
      <c r="D156" s="4" t="s">
        <v>32</v>
      </c>
      <c r="E156" s="4">
        <v>2</v>
      </c>
      <c r="F156" s="4">
        <v>39853</v>
      </c>
      <c r="G156" s="4">
        <v>79706</v>
      </c>
      <c r="H156" s="4">
        <v>125449</v>
      </c>
      <c r="I156" s="4"/>
      <c r="J156" s="4"/>
      <c r="K156" s="4"/>
      <c r="L156" s="6">
        <f t="shared" si="2"/>
        <v>0.635365766167925</v>
      </c>
      <c r="M156" s="4"/>
    </row>
    <row r="157" spans="1:13">
      <c r="A157" s="3">
        <v>45677</v>
      </c>
      <c r="B157" s="4" t="s">
        <v>5</v>
      </c>
      <c r="C157" s="4" t="s">
        <v>28</v>
      </c>
      <c r="D157" s="4" t="s">
        <v>25</v>
      </c>
      <c r="E157" s="4">
        <v>10</v>
      </c>
      <c r="F157" s="4">
        <v>49090</v>
      </c>
      <c r="G157" s="4">
        <v>490900</v>
      </c>
      <c r="H157" s="4">
        <v>103160</v>
      </c>
      <c r="I157" s="4"/>
      <c r="J157" s="4"/>
      <c r="K157" s="4"/>
      <c r="L157" s="6">
        <f t="shared" si="2"/>
        <v>4.75862737495153</v>
      </c>
      <c r="M157" s="4"/>
    </row>
    <row r="158" spans="1:13">
      <c r="A158" s="3">
        <v>45662</v>
      </c>
      <c r="B158" s="4" t="s">
        <v>5</v>
      </c>
      <c r="C158" s="4" t="s">
        <v>24</v>
      </c>
      <c r="D158" s="4" t="s">
        <v>33</v>
      </c>
      <c r="E158" s="4">
        <v>3</v>
      </c>
      <c r="F158" s="4">
        <v>820</v>
      </c>
      <c r="G158" s="4">
        <v>2460</v>
      </c>
      <c r="H158" s="4">
        <v>183133</v>
      </c>
      <c r="I158" s="4"/>
      <c r="J158" s="4"/>
      <c r="K158" s="4"/>
      <c r="L158" s="6">
        <f t="shared" si="2"/>
        <v>0.0134328602709506</v>
      </c>
      <c r="M158" s="4"/>
    </row>
    <row r="159" spans="1:13">
      <c r="A159" s="3">
        <v>45699</v>
      </c>
      <c r="B159" s="4" t="s">
        <v>5</v>
      </c>
      <c r="C159" s="4" t="s">
        <v>26</v>
      </c>
      <c r="D159" s="4" t="s">
        <v>29</v>
      </c>
      <c r="E159" s="4">
        <v>10</v>
      </c>
      <c r="F159" s="4">
        <v>15010</v>
      </c>
      <c r="G159" s="4">
        <v>150100</v>
      </c>
      <c r="H159" s="4">
        <v>22152</v>
      </c>
      <c r="I159" s="4"/>
      <c r="J159" s="4"/>
      <c r="K159" s="4"/>
      <c r="L159" s="6">
        <f t="shared" si="2"/>
        <v>6.77591188154568</v>
      </c>
      <c r="M159" s="4"/>
    </row>
    <row r="160" spans="1:13">
      <c r="A160" s="3">
        <v>45776</v>
      </c>
      <c r="B160" s="4" t="s">
        <v>2</v>
      </c>
      <c r="C160" s="4" t="s">
        <v>24</v>
      </c>
      <c r="D160" s="4" t="s">
        <v>32</v>
      </c>
      <c r="E160" s="4">
        <v>10</v>
      </c>
      <c r="F160" s="4">
        <v>47053</v>
      </c>
      <c r="G160" s="4">
        <v>470530</v>
      </c>
      <c r="H160" s="4">
        <v>63501</v>
      </c>
      <c r="I160" s="4"/>
      <c r="J160" s="4"/>
      <c r="K160" s="4"/>
      <c r="L160" s="6">
        <f t="shared" si="2"/>
        <v>7.40980457000677</v>
      </c>
      <c r="M160" s="4"/>
    </row>
    <row r="161" spans="1:13">
      <c r="A161" s="3">
        <v>45666</v>
      </c>
      <c r="B161" s="4" t="s">
        <v>6</v>
      </c>
      <c r="C161" s="4" t="s">
        <v>24</v>
      </c>
      <c r="D161" s="4" t="s">
        <v>32</v>
      </c>
      <c r="E161" s="4">
        <v>9</v>
      </c>
      <c r="F161" s="4">
        <v>38779</v>
      </c>
      <c r="G161" s="4">
        <v>349011</v>
      </c>
      <c r="H161" s="4">
        <v>68014</v>
      </c>
      <c r="I161" s="4"/>
      <c r="J161" s="4"/>
      <c r="K161" s="4"/>
      <c r="L161" s="6">
        <f t="shared" si="2"/>
        <v>5.13145822918811</v>
      </c>
      <c r="M161" s="4"/>
    </row>
    <row r="162" spans="1:13">
      <c r="A162" s="3">
        <v>45809</v>
      </c>
      <c r="B162" s="4" t="s">
        <v>4</v>
      </c>
      <c r="C162" s="4" t="s">
        <v>28</v>
      </c>
      <c r="D162" s="4" t="s">
        <v>32</v>
      </c>
      <c r="E162" s="4">
        <v>1</v>
      </c>
      <c r="F162" s="4">
        <v>25798</v>
      </c>
      <c r="G162" s="4">
        <v>25798</v>
      </c>
      <c r="H162" s="4">
        <v>153205</v>
      </c>
      <c r="I162" s="4"/>
      <c r="J162" s="4"/>
      <c r="K162" s="4"/>
      <c r="L162" s="6">
        <f t="shared" si="2"/>
        <v>0.168388760157958</v>
      </c>
      <c r="M162" s="4"/>
    </row>
    <row r="163" spans="1:13">
      <c r="A163" s="3">
        <v>45751</v>
      </c>
      <c r="B163" s="4" t="s">
        <v>3</v>
      </c>
      <c r="C163" s="4" t="s">
        <v>24</v>
      </c>
      <c r="D163" s="4" t="s">
        <v>27</v>
      </c>
      <c r="E163" s="4">
        <v>7</v>
      </c>
      <c r="F163" s="4">
        <v>37647</v>
      </c>
      <c r="G163" s="4">
        <v>263529</v>
      </c>
      <c r="H163" s="4">
        <v>20148</v>
      </c>
      <c r="I163" s="4"/>
      <c r="J163" s="4"/>
      <c r="K163" s="4"/>
      <c r="L163" s="6">
        <f t="shared" si="2"/>
        <v>13.0796605122096</v>
      </c>
      <c r="M163" s="4"/>
    </row>
    <row r="164" spans="1:13">
      <c r="A164" s="3">
        <v>45686</v>
      </c>
      <c r="B164" s="4" t="s">
        <v>5</v>
      </c>
      <c r="C164" s="4" t="s">
        <v>22</v>
      </c>
      <c r="D164" s="4" t="s">
        <v>30</v>
      </c>
      <c r="E164" s="4">
        <v>1</v>
      </c>
      <c r="F164" s="4">
        <v>21319</v>
      </c>
      <c r="G164" s="4">
        <v>21319</v>
      </c>
      <c r="H164" s="4">
        <v>26096</v>
      </c>
      <c r="I164" s="4"/>
      <c r="J164" s="4"/>
      <c r="K164" s="4"/>
      <c r="L164" s="6">
        <f t="shared" si="2"/>
        <v>0.816945125689761</v>
      </c>
      <c r="M164" s="4"/>
    </row>
    <row r="165" spans="1:13">
      <c r="A165" s="3">
        <v>45741</v>
      </c>
      <c r="B165" s="4" t="s">
        <v>5</v>
      </c>
      <c r="C165" s="4" t="s">
        <v>22</v>
      </c>
      <c r="D165" s="4" t="s">
        <v>31</v>
      </c>
      <c r="E165" s="4">
        <v>6</v>
      </c>
      <c r="F165" s="4">
        <v>16650</v>
      </c>
      <c r="G165" s="4">
        <v>99900</v>
      </c>
      <c r="H165" s="4">
        <v>35077</v>
      </c>
      <c r="I165" s="4"/>
      <c r="J165" s="4"/>
      <c r="K165" s="4"/>
      <c r="L165" s="6">
        <f t="shared" si="2"/>
        <v>2.84802007013142</v>
      </c>
      <c r="M165" s="4"/>
    </row>
    <row r="166" spans="1:13">
      <c r="A166" s="3">
        <v>45671</v>
      </c>
      <c r="B166" s="4" t="s">
        <v>2</v>
      </c>
      <c r="C166" s="4" t="s">
        <v>28</v>
      </c>
      <c r="D166" s="4" t="s">
        <v>33</v>
      </c>
      <c r="E166" s="4">
        <v>9</v>
      </c>
      <c r="F166" s="4">
        <v>16338</v>
      </c>
      <c r="G166" s="4">
        <v>147042</v>
      </c>
      <c r="H166" s="4">
        <v>120964</v>
      </c>
      <c r="I166" s="4"/>
      <c r="J166" s="4"/>
      <c r="K166" s="4"/>
      <c r="L166" s="6">
        <f t="shared" si="2"/>
        <v>1.21558480208988</v>
      </c>
      <c r="M166" s="4"/>
    </row>
    <row r="167" spans="1:13">
      <c r="A167" s="3">
        <v>45694</v>
      </c>
      <c r="B167" s="4" t="s">
        <v>6</v>
      </c>
      <c r="C167" s="4" t="s">
        <v>26</v>
      </c>
      <c r="D167" s="4" t="s">
        <v>29</v>
      </c>
      <c r="E167" s="4">
        <v>1</v>
      </c>
      <c r="F167" s="4">
        <v>31258</v>
      </c>
      <c r="G167" s="4">
        <v>31258</v>
      </c>
      <c r="H167" s="4">
        <v>20446</v>
      </c>
      <c r="I167" s="4"/>
      <c r="J167" s="4"/>
      <c r="K167" s="4"/>
      <c r="L167" s="6">
        <f t="shared" si="2"/>
        <v>1.52880759072679</v>
      </c>
      <c r="M167" s="4"/>
    </row>
    <row r="168" spans="1:13">
      <c r="A168" s="3">
        <v>45659</v>
      </c>
      <c r="B168" s="4" t="s">
        <v>6</v>
      </c>
      <c r="C168" s="4" t="s">
        <v>24</v>
      </c>
      <c r="D168" s="4" t="s">
        <v>27</v>
      </c>
      <c r="E168" s="4">
        <v>1</v>
      </c>
      <c r="F168" s="4">
        <v>12836</v>
      </c>
      <c r="G168" s="4">
        <v>12836</v>
      </c>
      <c r="H168" s="4">
        <v>19004</v>
      </c>
      <c r="I168" s="4"/>
      <c r="J168" s="4"/>
      <c r="K168" s="4"/>
      <c r="L168" s="6">
        <f t="shared" si="2"/>
        <v>0.675436750157862</v>
      </c>
      <c r="M168" s="4"/>
    </row>
    <row r="169" spans="1:13">
      <c r="A169" s="3">
        <v>45812</v>
      </c>
      <c r="B169" s="4" t="s">
        <v>7</v>
      </c>
      <c r="C169" s="4" t="s">
        <v>28</v>
      </c>
      <c r="D169" s="4" t="s">
        <v>25</v>
      </c>
      <c r="E169" s="4">
        <v>7</v>
      </c>
      <c r="F169" s="4">
        <v>43943</v>
      </c>
      <c r="G169" s="4">
        <v>307601</v>
      </c>
      <c r="H169" s="4">
        <v>106456</v>
      </c>
      <c r="I169" s="4"/>
      <c r="J169" s="4"/>
      <c r="K169" s="4"/>
      <c r="L169" s="6">
        <f t="shared" si="2"/>
        <v>2.88946607048922</v>
      </c>
      <c r="M169" s="4"/>
    </row>
    <row r="170" spans="1:13">
      <c r="A170" s="3">
        <v>45838</v>
      </c>
      <c r="B170" s="4" t="s">
        <v>8</v>
      </c>
      <c r="C170" s="4" t="s">
        <v>24</v>
      </c>
      <c r="D170" s="4" t="s">
        <v>31</v>
      </c>
      <c r="E170" s="4">
        <v>3</v>
      </c>
      <c r="F170" s="4">
        <v>20204</v>
      </c>
      <c r="G170" s="4">
        <v>60612</v>
      </c>
      <c r="H170" s="4">
        <v>101711</v>
      </c>
      <c r="I170" s="4"/>
      <c r="J170" s="4"/>
      <c r="K170" s="4"/>
      <c r="L170" s="6">
        <f t="shared" si="2"/>
        <v>0.595923744727709</v>
      </c>
      <c r="M170" s="4"/>
    </row>
    <row r="171" spans="1:13">
      <c r="A171" s="3">
        <v>45796</v>
      </c>
      <c r="B171" s="4" t="s">
        <v>6</v>
      </c>
      <c r="C171" s="4" t="s">
        <v>28</v>
      </c>
      <c r="D171" s="4" t="s">
        <v>33</v>
      </c>
      <c r="E171" s="4">
        <v>9</v>
      </c>
      <c r="F171" s="4">
        <v>40351</v>
      </c>
      <c r="G171" s="4">
        <v>363159</v>
      </c>
      <c r="H171" s="4">
        <v>75076</v>
      </c>
      <c r="I171" s="4"/>
      <c r="J171" s="4"/>
      <c r="K171" s="4"/>
      <c r="L171" s="6">
        <f t="shared" si="2"/>
        <v>4.83721828547072</v>
      </c>
      <c r="M171" s="4"/>
    </row>
    <row r="172" spans="1:13">
      <c r="A172" s="3">
        <v>45727</v>
      </c>
      <c r="B172" s="4" t="s">
        <v>6</v>
      </c>
      <c r="C172" s="4" t="s">
        <v>24</v>
      </c>
      <c r="D172" s="4" t="s">
        <v>30</v>
      </c>
      <c r="E172" s="4">
        <v>6</v>
      </c>
      <c r="F172" s="4">
        <v>41148</v>
      </c>
      <c r="G172" s="4">
        <v>246888</v>
      </c>
      <c r="H172" s="4">
        <v>99702</v>
      </c>
      <c r="I172" s="4"/>
      <c r="J172" s="4"/>
      <c r="K172" s="4"/>
      <c r="L172" s="6">
        <f t="shared" si="2"/>
        <v>2.47625925257267</v>
      </c>
      <c r="M172" s="4"/>
    </row>
    <row r="173" spans="1:13">
      <c r="A173" s="3">
        <v>45829</v>
      </c>
      <c r="B173" s="4" t="s">
        <v>7</v>
      </c>
      <c r="C173" s="4" t="s">
        <v>26</v>
      </c>
      <c r="D173" s="4" t="s">
        <v>29</v>
      </c>
      <c r="E173" s="4">
        <v>8</v>
      </c>
      <c r="F173" s="4">
        <v>15960</v>
      </c>
      <c r="G173" s="4">
        <v>127680</v>
      </c>
      <c r="H173" s="4">
        <v>44901</v>
      </c>
      <c r="I173" s="4"/>
      <c r="J173" s="4"/>
      <c r="K173" s="4"/>
      <c r="L173" s="6">
        <f t="shared" si="2"/>
        <v>2.84358922963854</v>
      </c>
      <c r="M173" s="4"/>
    </row>
    <row r="174" spans="1:13">
      <c r="A174" s="3">
        <v>45745</v>
      </c>
      <c r="B174" s="4" t="s">
        <v>5</v>
      </c>
      <c r="C174" s="4" t="s">
        <v>28</v>
      </c>
      <c r="D174" s="4" t="s">
        <v>29</v>
      </c>
      <c r="E174" s="4">
        <v>9</v>
      </c>
      <c r="F174" s="4">
        <v>49319</v>
      </c>
      <c r="G174" s="4">
        <v>443871</v>
      </c>
      <c r="H174" s="4">
        <v>67620</v>
      </c>
      <c r="I174" s="4"/>
      <c r="J174" s="4"/>
      <c r="K174" s="4"/>
      <c r="L174" s="6">
        <f t="shared" si="2"/>
        <v>6.56419698314108</v>
      </c>
      <c r="M174" s="4"/>
    </row>
    <row r="175" spans="1:13">
      <c r="A175" s="3">
        <v>45818</v>
      </c>
      <c r="B175" s="4" t="s">
        <v>4</v>
      </c>
      <c r="C175" s="4" t="s">
        <v>26</v>
      </c>
      <c r="D175" s="4" t="s">
        <v>29</v>
      </c>
      <c r="E175" s="4">
        <v>3</v>
      </c>
      <c r="F175" s="4">
        <v>24224</v>
      </c>
      <c r="G175" s="4">
        <v>72672</v>
      </c>
      <c r="H175" s="4">
        <v>166324</v>
      </c>
      <c r="I175" s="4"/>
      <c r="J175" s="4"/>
      <c r="K175" s="4"/>
      <c r="L175" s="6">
        <f t="shared" si="2"/>
        <v>0.436930328755922</v>
      </c>
      <c r="M175" s="4"/>
    </row>
    <row r="176" spans="1:13">
      <c r="A176" s="3">
        <v>45787</v>
      </c>
      <c r="B176" s="4" t="s">
        <v>5</v>
      </c>
      <c r="C176" s="4" t="s">
        <v>24</v>
      </c>
      <c r="D176" s="4" t="s">
        <v>33</v>
      </c>
      <c r="E176" s="4">
        <v>10</v>
      </c>
      <c r="F176" s="4">
        <v>18634</v>
      </c>
      <c r="G176" s="4">
        <v>186340</v>
      </c>
      <c r="H176" s="4">
        <v>16819</v>
      </c>
      <c r="I176" s="4"/>
      <c r="J176" s="4"/>
      <c r="K176" s="4"/>
      <c r="L176" s="6">
        <f t="shared" si="2"/>
        <v>11.0791366906475</v>
      </c>
      <c r="M176" s="4"/>
    </row>
    <row r="177" spans="1:13">
      <c r="A177" s="3">
        <v>45748</v>
      </c>
      <c r="B177" s="4" t="s">
        <v>5</v>
      </c>
      <c r="C177" s="4" t="s">
        <v>26</v>
      </c>
      <c r="D177" s="4" t="s">
        <v>30</v>
      </c>
      <c r="E177" s="4">
        <v>6</v>
      </c>
      <c r="F177" s="4">
        <v>2693</v>
      </c>
      <c r="G177" s="4">
        <v>16158</v>
      </c>
      <c r="H177" s="4">
        <v>24190</v>
      </c>
      <c r="I177" s="4"/>
      <c r="J177" s="4"/>
      <c r="K177" s="4"/>
      <c r="L177" s="6">
        <f t="shared" si="2"/>
        <v>0.667961967755271</v>
      </c>
      <c r="M177" s="4"/>
    </row>
    <row r="178" spans="1:13">
      <c r="A178" s="3">
        <v>45755</v>
      </c>
      <c r="B178" s="4" t="s">
        <v>2</v>
      </c>
      <c r="C178" s="4" t="s">
        <v>22</v>
      </c>
      <c r="D178" s="4" t="s">
        <v>33</v>
      </c>
      <c r="E178" s="4">
        <v>6</v>
      </c>
      <c r="F178" s="4">
        <v>11476</v>
      </c>
      <c r="G178" s="4">
        <v>68856</v>
      </c>
      <c r="H178" s="4">
        <v>154384</v>
      </c>
      <c r="I178" s="4"/>
      <c r="J178" s="4"/>
      <c r="K178" s="4"/>
      <c r="L178" s="6">
        <f t="shared" si="2"/>
        <v>0.446004767333402</v>
      </c>
      <c r="M178" s="4"/>
    </row>
    <row r="179" spans="1:13">
      <c r="A179" s="3">
        <v>45707</v>
      </c>
      <c r="B179" s="4" t="s">
        <v>8</v>
      </c>
      <c r="C179" s="4" t="s">
        <v>24</v>
      </c>
      <c r="D179" s="4" t="s">
        <v>33</v>
      </c>
      <c r="E179" s="4">
        <v>2</v>
      </c>
      <c r="F179" s="4">
        <v>4135</v>
      </c>
      <c r="G179" s="4">
        <v>8270</v>
      </c>
      <c r="H179" s="4">
        <v>82437</v>
      </c>
      <c r="I179" s="4"/>
      <c r="J179" s="4"/>
      <c r="K179" s="4"/>
      <c r="L179" s="6">
        <f t="shared" si="2"/>
        <v>0.100319031502845</v>
      </c>
      <c r="M179" s="4"/>
    </row>
    <row r="180" spans="1:13">
      <c r="A180" s="3">
        <v>45774</v>
      </c>
      <c r="B180" s="4" t="s">
        <v>7</v>
      </c>
      <c r="C180" s="4" t="s">
        <v>28</v>
      </c>
      <c r="D180" s="4" t="s">
        <v>32</v>
      </c>
      <c r="E180" s="4">
        <v>3</v>
      </c>
      <c r="F180" s="4">
        <v>28862</v>
      </c>
      <c r="G180" s="4">
        <v>86586</v>
      </c>
      <c r="H180" s="4">
        <v>17831</v>
      </c>
      <c r="I180" s="4"/>
      <c r="J180" s="4"/>
      <c r="K180" s="4"/>
      <c r="L180" s="6">
        <f t="shared" si="2"/>
        <v>4.85592507430879</v>
      </c>
      <c r="M180" s="4"/>
    </row>
    <row r="181" spans="1:13">
      <c r="A181" s="3">
        <v>45759</v>
      </c>
      <c r="B181" s="4" t="s">
        <v>2</v>
      </c>
      <c r="C181" s="4" t="s">
        <v>26</v>
      </c>
      <c r="D181" s="4" t="s">
        <v>33</v>
      </c>
      <c r="E181" s="4">
        <v>1</v>
      </c>
      <c r="F181" s="4">
        <v>35864</v>
      </c>
      <c r="G181" s="4">
        <v>35864</v>
      </c>
      <c r="H181" s="4">
        <v>193165</v>
      </c>
      <c r="I181" s="4"/>
      <c r="J181" s="4"/>
      <c r="K181" s="4"/>
      <c r="L181" s="6">
        <f t="shared" si="2"/>
        <v>0.185665104962079</v>
      </c>
      <c r="M181" s="4"/>
    </row>
    <row r="182" spans="1:13">
      <c r="A182" s="3">
        <v>45804</v>
      </c>
      <c r="B182" s="4" t="s">
        <v>8</v>
      </c>
      <c r="C182" s="4" t="s">
        <v>28</v>
      </c>
      <c r="D182" s="4" t="s">
        <v>23</v>
      </c>
      <c r="E182" s="4">
        <v>5</v>
      </c>
      <c r="F182" s="4">
        <v>6116</v>
      </c>
      <c r="G182" s="4">
        <v>30580</v>
      </c>
      <c r="H182" s="4">
        <v>164480</v>
      </c>
      <c r="I182" s="4"/>
      <c r="J182" s="4"/>
      <c r="K182" s="4"/>
      <c r="L182" s="6">
        <f t="shared" si="2"/>
        <v>0.185919260700389</v>
      </c>
      <c r="M182" s="4"/>
    </row>
    <row r="183" spans="1:13">
      <c r="A183" s="3">
        <v>45717</v>
      </c>
      <c r="B183" s="4" t="s">
        <v>7</v>
      </c>
      <c r="C183" s="4" t="s">
        <v>26</v>
      </c>
      <c r="D183" s="4" t="s">
        <v>33</v>
      </c>
      <c r="E183" s="4">
        <v>10</v>
      </c>
      <c r="F183" s="4">
        <v>23860</v>
      </c>
      <c r="G183" s="4">
        <v>238600</v>
      </c>
      <c r="H183" s="4">
        <v>62846</v>
      </c>
      <c r="I183" s="4"/>
      <c r="J183" s="4"/>
      <c r="K183" s="4"/>
      <c r="L183" s="6">
        <f t="shared" si="2"/>
        <v>3.79658212137606</v>
      </c>
      <c r="M183" s="4"/>
    </row>
    <row r="184" spans="1:13">
      <c r="A184" s="3">
        <v>45681</v>
      </c>
      <c r="B184" s="4" t="s">
        <v>7</v>
      </c>
      <c r="C184" s="4" t="s">
        <v>28</v>
      </c>
      <c r="D184" s="4" t="s">
        <v>27</v>
      </c>
      <c r="E184" s="4">
        <v>6</v>
      </c>
      <c r="F184" s="4">
        <v>21580</v>
      </c>
      <c r="G184" s="4">
        <v>129480</v>
      </c>
      <c r="H184" s="4">
        <v>123452</v>
      </c>
      <c r="I184" s="4"/>
      <c r="J184" s="4"/>
      <c r="K184" s="4"/>
      <c r="L184" s="6">
        <f t="shared" si="2"/>
        <v>1.04882869455335</v>
      </c>
      <c r="M184" s="4"/>
    </row>
    <row r="185" spans="1:13">
      <c r="A185" s="3">
        <v>45786</v>
      </c>
      <c r="B185" s="4" t="s">
        <v>6</v>
      </c>
      <c r="C185" s="4" t="s">
        <v>22</v>
      </c>
      <c r="D185" s="4" t="s">
        <v>32</v>
      </c>
      <c r="E185" s="4">
        <v>9</v>
      </c>
      <c r="F185" s="4">
        <v>27230</v>
      </c>
      <c r="G185" s="4">
        <v>245070</v>
      </c>
      <c r="H185" s="4">
        <v>73530</v>
      </c>
      <c r="I185" s="4"/>
      <c r="J185" s="4"/>
      <c r="K185" s="4"/>
      <c r="L185" s="6">
        <f t="shared" si="2"/>
        <v>3.33292533659731</v>
      </c>
      <c r="M185" s="4"/>
    </row>
    <row r="186" spans="1:13">
      <c r="A186" s="3">
        <v>45779</v>
      </c>
      <c r="B186" s="4" t="s">
        <v>2</v>
      </c>
      <c r="C186" s="4" t="s">
        <v>26</v>
      </c>
      <c r="D186" s="4" t="s">
        <v>32</v>
      </c>
      <c r="E186" s="4">
        <v>6</v>
      </c>
      <c r="F186" s="4">
        <v>34699</v>
      </c>
      <c r="G186" s="4">
        <v>208194</v>
      </c>
      <c r="H186" s="4">
        <v>97377</v>
      </c>
      <c r="I186" s="4"/>
      <c r="J186" s="4"/>
      <c r="K186" s="4"/>
      <c r="L186" s="6">
        <f t="shared" si="2"/>
        <v>2.13802027172741</v>
      </c>
      <c r="M186" s="4"/>
    </row>
    <row r="187" spans="1:13">
      <c r="A187" s="3">
        <v>45695</v>
      </c>
      <c r="B187" s="4" t="s">
        <v>3</v>
      </c>
      <c r="C187" s="4" t="s">
        <v>24</v>
      </c>
      <c r="D187" s="4" t="s">
        <v>33</v>
      </c>
      <c r="E187" s="4">
        <v>1</v>
      </c>
      <c r="F187" s="4">
        <v>31467</v>
      </c>
      <c r="G187" s="4">
        <v>31467</v>
      </c>
      <c r="H187" s="4">
        <v>113999</v>
      </c>
      <c r="I187" s="4"/>
      <c r="J187" s="4"/>
      <c r="K187" s="4"/>
      <c r="L187" s="6">
        <f t="shared" si="2"/>
        <v>0.276028737094185</v>
      </c>
      <c r="M187" s="4"/>
    </row>
    <row r="188" spans="1:13">
      <c r="A188" s="3">
        <v>45803</v>
      </c>
      <c r="B188" s="4" t="s">
        <v>3</v>
      </c>
      <c r="C188" s="4" t="s">
        <v>22</v>
      </c>
      <c r="D188" s="4" t="s">
        <v>31</v>
      </c>
      <c r="E188" s="4">
        <v>3</v>
      </c>
      <c r="F188" s="4">
        <v>32978</v>
      </c>
      <c r="G188" s="4">
        <v>98934</v>
      </c>
      <c r="H188" s="4">
        <v>189370</v>
      </c>
      <c r="I188" s="4"/>
      <c r="J188" s="4"/>
      <c r="K188" s="4"/>
      <c r="L188" s="6">
        <f t="shared" si="2"/>
        <v>0.522437556107092</v>
      </c>
      <c r="M188" s="4"/>
    </row>
    <row r="189" spans="1:13">
      <c r="A189" s="3">
        <v>45768</v>
      </c>
      <c r="B189" s="4" t="s">
        <v>8</v>
      </c>
      <c r="C189" s="4" t="s">
        <v>26</v>
      </c>
      <c r="D189" s="4" t="s">
        <v>25</v>
      </c>
      <c r="E189" s="4">
        <v>8</v>
      </c>
      <c r="F189" s="4">
        <v>16445</v>
      </c>
      <c r="G189" s="4">
        <v>131560</v>
      </c>
      <c r="H189" s="4">
        <v>95852</v>
      </c>
      <c r="I189" s="4"/>
      <c r="J189" s="4"/>
      <c r="K189" s="4"/>
      <c r="L189" s="6">
        <f t="shared" si="2"/>
        <v>1.37253265450903</v>
      </c>
      <c r="M189" s="4"/>
    </row>
    <row r="190" spans="1:13">
      <c r="A190" s="3">
        <v>45696</v>
      </c>
      <c r="B190" s="4" t="s">
        <v>5</v>
      </c>
      <c r="C190" s="4" t="s">
        <v>22</v>
      </c>
      <c r="D190" s="4" t="s">
        <v>30</v>
      </c>
      <c r="E190" s="4">
        <v>2</v>
      </c>
      <c r="F190" s="4">
        <v>46923</v>
      </c>
      <c r="G190" s="4">
        <v>93846</v>
      </c>
      <c r="H190" s="4">
        <v>163603</v>
      </c>
      <c r="I190" s="4"/>
      <c r="J190" s="4"/>
      <c r="K190" s="4"/>
      <c r="L190" s="6">
        <f t="shared" si="2"/>
        <v>0.573620288136526</v>
      </c>
      <c r="M190" s="4"/>
    </row>
    <row r="191" spans="1:13">
      <c r="A191" s="3">
        <v>45821</v>
      </c>
      <c r="B191" s="4" t="s">
        <v>4</v>
      </c>
      <c r="C191" s="4" t="s">
        <v>24</v>
      </c>
      <c r="D191" s="4" t="s">
        <v>30</v>
      </c>
      <c r="E191" s="4">
        <v>3</v>
      </c>
      <c r="F191" s="4">
        <v>46402</v>
      </c>
      <c r="G191" s="4">
        <v>139206</v>
      </c>
      <c r="H191" s="4">
        <v>2509</v>
      </c>
      <c r="I191" s="4"/>
      <c r="J191" s="4"/>
      <c r="K191" s="4"/>
      <c r="L191" s="6">
        <f t="shared" si="2"/>
        <v>55.4826624153049</v>
      </c>
      <c r="M191" s="4"/>
    </row>
    <row r="192" spans="1:13">
      <c r="A192" s="3">
        <v>45715</v>
      </c>
      <c r="B192" s="4" t="s">
        <v>3</v>
      </c>
      <c r="C192" s="4" t="s">
        <v>24</v>
      </c>
      <c r="D192" s="4" t="s">
        <v>32</v>
      </c>
      <c r="E192" s="4">
        <v>9</v>
      </c>
      <c r="F192" s="4">
        <v>17783</v>
      </c>
      <c r="G192" s="4">
        <v>160047</v>
      </c>
      <c r="H192" s="4">
        <v>15353</v>
      </c>
      <c r="I192" s="4"/>
      <c r="J192" s="4"/>
      <c r="K192" s="4"/>
      <c r="L192" s="6">
        <f t="shared" si="2"/>
        <v>10.4244773008533</v>
      </c>
      <c r="M192" s="4"/>
    </row>
    <row r="193" spans="1:13">
      <c r="A193" s="3">
        <v>45742</v>
      </c>
      <c r="B193" s="4" t="s">
        <v>5</v>
      </c>
      <c r="C193" s="4" t="s">
        <v>26</v>
      </c>
      <c r="D193" s="4" t="s">
        <v>25</v>
      </c>
      <c r="E193" s="4">
        <v>7</v>
      </c>
      <c r="F193" s="4">
        <v>4660</v>
      </c>
      <c r="G193" s="4">
        <v>32620</v>
      </c>
      <c r="H193" s="4">
        <v>113266</v>
      </c>
      <c r="I193" s="4"/>
      <c r="J193" s="4"/>
      <c r="K193" s="4"/>
      <c r="L193" s="6">
        <f t="shared" si="2"/>
        <v>0.287994632104956</v>
      </c>
      <c r="M193" s="4"/>
    </row>
    <row r="194" spans="1:13">
      <c r="A194" s="3">
        <v>45710</v>
      </c>
      <c r="B194" s="4" t="s">
        <v>4</v>
      </c>
      <c r="C194" s="4" t="s">
        <v>26</v>
      </c>
      <c r="D194" s="4" t="s">
        <v>25</v>
      </c>
      <c r="E194" s="4">
        <v>2</v>
      </c>
      <c r="F194" s="4">
        <v>5169</v>
      </c>
      <c r="G194" s="4">
        <v>10338</v>
      </c>
      <c r="H194" s="4">
        <v>13808</v>
      </c>
      <c r="I194" s="4"/>
      <c r="J194" s="4"/>
      <c r="K194" s="4"/>
      <c r="L194" s="6">
        <f t="shared" si="2"/>
        <v>0.74869640787949</v>
      </c>
      <c r="M194" s="4"/>
    </row>
    <row r="195" spans="1:13">
      <c r="A195" s="3">
        <v>45778</v>
      </c>
      <c r="B195" s="4" t="s">
        <v>7</v>
      </c>
      <c r="C195" s="4" t="s">
        <v>24</v>
      </c>
      <c r="D195" s="4" t="s">
        <v>23</v>
      </c>
      <c r="E195" s="4">
        <v>5</v>
      </c>
      <c r="F195" s="4">
        <v>24527</v>
      </c>
      <c r="G195" s="4">
        <v>122635</v>
      </c>
      <c r="H195" s="4">
        <v>108626</v>
      </c>
      <c r="I195" s="4"/>
      <c r="J195" s="4"/>
      <c r="K195" s="4"/>
      <c r="L195" s="6">
        <f t="shared" ref="L195:L258" si="3">G195/H195</f>
        <v>1.12896544105463</v>
      </c>
      <c r="M195" s="4"/>
    </row>
    <row r="196" spans="1:13">
      <c r="A196" s="3">
        <v>45665</v>
      </c>
      <c r="B196" s="4" t="s">
        <v>8</v>
      </c>
      <c r="C196" s="4" t="s">
        <v>26</v>
      </c>
      <c r="D196" s="4" t="s">
        <v>29</v>
      </c>
      <c r="E196" s="4">
        <v>8</v>
      </c>
      <c r="F196" s="4">
        <v>10524</v>
      </c>
      <c r="G196" s="4">
        <v>84192</v>
      </c>
      <c r="H196" s="4">
        <v>100160</v>
      </c>
      <c r="I196" s="4"/>
      <c r="J196" s="4"/>
      <c r="K196" s="4"/>
      <c r="L196" s="6">
        <f t="shared" si="3"/>
        <v>0.840575079872204</v>
      </c>
      <c r="M196" s="4"/>
    </row>
    <row r="197" spans="1:13">
      <c r="A197" s="3">
        <v>45700</v>
      </c>
      <c r="B197" s="4" t="s">
        <v>8</v>
      </c>
      <c r="C197" s="4" t="s">
        <v>28</v>
      </c>
      <c r="D197" s="4" t="s">
        <v>23</v>
      </c>
      <c r="E197" s="4">
        <v>4</v>
      </c>
      <c r="F197" s="4">
        <v>48277</v>
      </c>
      <c r="G197" s="4">
        <v>193108</v>
      </c>
      <c r="H197" s="4">
        <v>81485</v>
      </c>
      <c r="I197" s="4"/>
      <c r="J197" s="4"/>
      <c r="K197" s="4"/>
      <c r="L197" s="6">
        <f t="shared" si="3"/>
        <v>2.36985948334049</v>
      </c>
      <c r="M197" s="4"/>
    </row>
    <row r="198" spans="1:13">
      <c r="A198" s="3">
        <v>45693</v>
      </c>
      <c r="B198" s="4" t="s">
        <v>7</v>
      </c>
      <c r="C198" s="4" t="s">
        <v>28</v>
      </c>
      <c r="D198" s="4" t="s">
        <v>32</v>
      </c>
      <c r="E198" s="4">
        <v>2</v>
      </c>
      <c r="F198" s="4">
        <v>32663</v>
      </c>
      <c r="G198" s="4">
        <v>65326</v>
      </c>
      <c r="H198" s="4">
        <v>13314</v>
      </c>
      <c r="I198" s="4"/>
      <c r="J198" s="4"/>
      <c r="K198" s="4"/>
      <c r="L198" s="6">
        <f t="shared" si="3"/>
        <v>4.9065645185519</v>
      </c>
      <c r="M198" s="4"/>
    </row>
    <row r="199" spans="1:13">
      <c r="A199" s="3">
        <v>45824</v>
      </c>
      <c r="B199" s="4" t="s">
        <v>5</v>
      </c>
      <c r="C199" s="4" t="s">
        <v>24</v>
      </c>
      <c r="D199" s="4" t="s">
        <v>23</v>
      </c>
      <c r="E199" s="4">
        <v>7</v>
      </c>
      <c r="F199" s="4">
        <v>18732</v>
      </c>
      <c r="G199" s="4">
        <v>131124</v>
      </c>
      <c r="H199" s="4">
        <v>49070</v>
      </c>
      <c r="I199" s="4"/>
      <c r="J199" s="4"/>
      <c r="K199" s="4"/>
      <c r="L199" s="6">
        <f t="shared" si="3"/>
        <v>2.67218259629101</v>
      </c>
      <c r="M199" s="4"/>
    </row>
    <row r="200" spans="1:13">
      <c r="A200" s="3">
        <v>45700</v>
      </c>
      <c r="B200" s="4" t="s">
        <v>7</v>
      </c>
      <c r="C200" s="4" t="s">
        <v>26</v>
      </c>
      <c r="D200" s="4" t="s">
        <v>33</v>
      </c>
      <c r="E200" s="4">
        <v>10</v>
      </c>
      <c r="F200" s="4">
        <v>2977</v>
      </c>
      <c r="G200" s="4">
        <v>29770</v>
      </c>
      <c r="H200" s="4">
        <v>164240</v>
      </c>
      <c r="I200" s="4"/>
      <c r="J200" s="4"/>
      <c r="K200" s="4"/>
      <c r="L200" s="6">
        <f t="shared" si="3"/>
        <v>0.181259132976132</v>
      </c>
      <c r="M200" s="4"/>
    </row>
    <row r="201" spans="1:13">
      <c r="A201" s="3">
        <v>45778</v>
      </c>
      <c r="B201" s="4" t="s">
        <v>7</v>
      </c>
      <c r="C201" s="4" t="s">
        <v>22</v>
      </c>
      <c r="D201" s="4" t="s">
        <v>27</v>
      </c>
      <c r="E201" s="4">
        <v>3</v>
      </c>
      <c r="F201" s="4">
        <v>38244</v>
      </c>
      <c r="G201" s="4">
        <v>114732</v>
      </c>
      <c r="H201" s="4">
        <v>3334</v>
      </c>
      <c r="I201" s="4"/>
      <c r="J201" s="4"/>
      <c r="K201" s="4"/>
      <c r="L201" s="6">
        <f t="shared" si="3"/>
        <v>34.4127174565087</v>
      </c>
      <c r="M201" s="4"/>
    </row>
    <row r="202" spans="1:13">
      <c r="A202" s="3">
        <v>45800</v>
      </c>
      <c r="B202" s="4" t="s">
        <v>3</v>
      </c>
      <c r="C202" s="4" t="s">
        <v>22</v>
      </c>
      <c r="D202" s="4" t="s">
        <v>23</v>
      </c>
      <c r="E202" s="4">
        <v>4</v>
      </c>
      <c r="F202" s="4">
        <v>17619</v>
      </c>
      <c r="G202" s="4">
        <v>70476</v>
      </c>
      <c r="H202" s="4">
        <v>186245</v>
      </c>
      <c r="I202" s="4"/>
      <c r="J202" s="4"/>
      <c r="K202" s="4"/>
      <c r="L202" s="6">
        <f t="shared" si="3"/>
        <v>0.378404789390319</v>
      </c>
      <c r="M202" s="4"/>
    </row>
    <row r="203" spans="1:13">
      <c r="A203" s="3">
        <v>45712</v>
      </c>
      <c r="B203" s="4" t="s">
        <v>3</v>
      </c>
      <c r="C203" s="4" t="s">
        <v>26</v>
      </c>
      <c r="D203" s="4" t="s">
        <v>31</v>
      </c>
      <c r="E203" s="4">
        <v>3</v>
      </c>
      <c r="F203" s="4">
        <v>49878</v>
      </c>
      <c r="G203" s="4">
        <v>149634</v>
      </c>
      <c r="H203" s="4">
        <v>12401</v>
      </c>
      <c r="I203" s="4"/>
      <c r="J203" s="4"/>
      <c r="K203" s="4"/>
      <c r="L203" s="6">
        <f t="shared" si="3"/>
        <v>12.066284977018</v>
      </c>
      <c r="M203" s="4"/>
    </row>
    <row r="204" spans="1:13">
      <c r="A204" s="3">
        <v>45776</v>
      </c>
      <c r="B204" s="4" t="s">
        <v>2</v>
      </c>
      <c r="C204" s="4" t="s">
        <v>22</v>
      </c>
      <c r="D204" s="4" t="s">
        <v>31</v>
      </c>
      <c r="E204" s="4">
        <v>10</v>
      </c>
      <c r="F204" s="4">
        <v>27966</v>
      </c>
      <c r="G204" s="4">
        <v>279660</v>
      </c>
      <c r="H204" s="4">
        <v>169057</v>
      </c>
      <c r="I204" s="4"/>
      <c r="J204" s="4"/>
      <c r="K204" s="4"/>
      <c r="L204" s="6">
        <f t="shared" si="3"/>
        <v>1.65423496217252</v>
      </c>
      <c r="M204" s="4"/>
    </row>
    <row r="205" spans="1:13">
      <c r="A205" s="3">
        <v>45678</v>
      </c>
      <c r="B205" s="4" t="s">
        <v>6</v>
      </c>
      <c r="C205" s="4" t="s">
        <v>24</v>
      </c>
      <c r="D205" s="4" t="s">
        <v>25</v>
      </c>
      <c r="E205" s="4">
        <v>9</v>
      </c>
      <c r="F205" s="4">
        <v>41409</v>
      </c>
      <c r="G205" s="4">
        <v>372681</v>
      </c>
      <c r="H205" s="4">
        <v>73757</v>
      </c>
      <c r="I205" s="4"/>
      <c r="J205" s="4"/>
      <c r="K205" s="4"/>
      <c r="L205" s="6">
        <f t="shared" si="3"/>
        <v>5.05282210502054</v>
      </c>
      <c r="M205" s="4"/>
    </row>
    <row r="206" spans="1:13">
      <c r="A206" s="3">
        <v>45832</v>
      </c>
      <c r="B206" s="4" t="s">
        <v>2</v>
      </c>
      <c r="C206" s="4" t="s">
        <v>22</v>
      </c>
      <c r="D206" s="4" t="s">
        <v>30</v>
      </c>
      <c r="E206" s="4">
        <v>4</v>
      </c>
      <c r="F206" s="4">
        <v>44866</v>
      </c>
      <c r="G206" s="4">
        <v>179464</v>
      </c>
      <c r="H206" s="4">
        <v>53239</v>
      </c>
      <c r="I206" s="4"/>
      <c r="J206" s="4"/>
      <c r="K206" s="4"/>
      <c r="L206" s="6">
        <f t="shared" si="3"/>
        <v>3.37091230113263</v>
      </c>
      <c r="M206" s="4"/>
    </row>
    <row r="207" spans="1:13">
      <c r="A207" s="3">
        <v>45660</v>
      </c>
      <c r="B207" s="4" t="s">
        <v>2</v>
      </c>
      <c r="C207" s="4" t="s">
        <v>24</v>
      </c>
      <c r="D207" s="4" t="s">
        <v>31</v>
      </c>
      <c r="E207" s="4">
        <v>10</v>
      </c>
      <c r="F207" s="4">
        <v>19813</v>
      </c>
      <c r="G207" s="4">
        <v>198130</v>
      </c>
      <c r="H207" s="4">
        <v>50327</v>
      </c>
      <c r="I207" s="4"/>
      <c r="J207" s="4"/>
      <c r="K207" s="4"/>
      <c r="L207" s="6">
        <f t="shared" si="3"/>
        <v>3.93685298150098</v>
      </c>
      <c r="M207" s="4"/>
    </row>
    <row r="208" spans="1:13">
      <c r="A208" s="3">
        <v>45821</v>
      </c>
      <c r="B208" s="4" t="s">
        <v>5</v>
      </c>
      <c r="C208" s="4" t="s">
        <v>28</v>
      </c>
      <c r="D208" s="4" t="s">
        <v>31</v>
      </c>
      <c r="E208" s="4">
        <v>8</v>
      </c>
      <c r="F208" s="4">
        <v>37915</v>
      </c>
      <c r="G208" s="4">
        <v>303320</v>
      </c>
      <c r="H208" s="4">
        <v>37586</v>
      </c>
      <c r="I208" s="4"/>
      <c r="J208" s="4"/>
      <c r="K208" s="4"/>
      <c r="L208" s="6">
        <f t="shared" si="3"/>
        <v>8.07002607353802</v>
      </c>
      <c r="M208" s="4"/>
    </row>
    <row r="209" spans="1:13">
      <c r="A209" s="3">
        <v>45820</v>
      </c>
      <c r="B209" s="4" t="s">
        <v>2</v>
      </c>
      <c r="C209" s="4" t="s">
        <v>24</v>
      </c>
      <c r="D209" s="4" t="s">
        <v>30</v>
      </c>
      <c r="E209" s="4">
        <v>1</v>
      </c>
      <c r="F209" s="4">
        <v>29284</v>
      </c>
      <c r="G209" s="4">
        <v>29284</v>
      </c>
      <c r="H209" s="4">
        <v>111278</v>
      </c>
      <c r="I209" s="4"/>
      <c r="J209" s="4"/>
      <c r="K209" s="4"/>
      <c r="L209" s="6">
        <f t="shared" si="3"/>
        <v>0.263160732579665</v>
      </c>
      <c r="M209" s="4"/>
    </row>
    <row r="210" spans="1:13">
      <c r="A210" s="3">
        <v>45702</v>
      </c>
      <c r="B210" s="4" t="s">
        <v>4</v>
      </c>
      <c r="C210" s="4" t="s">
        <v>24</v>
      </c>
      <c r="D210" s="4" t="s">
        <v>31</v>
      </c>
      <c r="E210" s="4">
        <v>1</v>
      </c>
      <c r="F210" s="4">
        <v>44716</v>
      </c>
      <c r="G210" s="4">
        <v>44716</v>
      </c>
      <c r="H210" s="4">
        <v>11207</v>
      </c>
      <c r="I210" s="4"/>
      <c r="J210" s="4"/>
      <c r="K210" s="4"/>
      <c r="L210" s="6">
        <f t="shared" si="3"/>
        <v>3.99000624609619</v>
      </c>
      <c r="M210" s="4"/>
    </row>
    <row r="211" spans="1:13">
      <c r="A211" s="3">
        <v>45771</v>
      </c>
      <c r="B211" s="4" t="s">
        <v>5</v>
      </c>
      <c r="C211" s="4" t="s">
        <v>28</v>
      </c>
      <c r="D211" s="4" t="s">
        <v>30</v>
      </c>
      <c r="E211" s="4">
        <v>9</v>
      </c>
      <c r="F211" s="4">
        <v>2824</v>
      </c>
      <c r="G211" s="4">
        <v>25416</v>
      </c>
      <c r="H211" s="4">
        <v>184029</v>
      </c>
      <c r="I211" s="4"/>
      <c r="J211" s="4"/>
      <c r="K211" s="4"/>
      <c r="L211" s="6">
        <f t="shared" si="3"/>
        <v>0.138108667655641</v>
      </c>
      <c r="M211" s="4"/>
    </row>
    <row r="212" spans="1:13">
      <c r="A212" s="3">
        <v>45808</v>
      </c>
      <c r="B212" s="4" t="s">
        <v>3</v>
      </c>
      <c r="C212" s="4" t="s">
        <v>24</v>
      </c>
      <c r="D212" s="4" t="s">
        <v>23</v>
      </c>
      <c r="E212" s="4">
        <v>1</v>
      </c>
      <c r="F212" s="4">
        <v>32374</v>
      </c>
      <c r="G212" s="4">
        <v>32374</v>
      </c>
      <c r="H212" s="4">
        <v>80169</v>
      </c>
      <c r="I212" s="4"/>
      <c r="J212" s="4"/>
      <c r="K212" s="4"/>
      <c r="L212" s="6">
        <f t="shared" si="3"/>
        <v>0.403821926180943</v>
      </c>
      <c r="M212" s="4"/>
    </row>
    <row r="213" spans="1:13">
      <c r="A213" s="3">
        <v>45824</v>
      </c>
      <c r="B213" s="4" t="s">
        <v>4</v>
      </c>
      <c r="C213" s="4" t="s">
        <v>26</v>
      </c>
      <c r="D213" s="4" t="s">
        <v>33</v>
      </c>
      <c r="E213" s="4">
        <v>2</v>
      </c>
      <c r="F213" s="4">
        <v>12552</v>
      </c>
      <c r="G213" s="4">
        <v>25104</v>
      </c>
      <c r="H213" s="4">
        <v>147896</v>
      </c>
      <c r="I213" s="4"/>
      <c r="J213" s="4"/>
      <c r="K213" s="4"/>
      <c r="L213" s="6">
        <f t="shared" si="3"/>
        <v>0.169740899010115</v>
      </c>
      <c r="M213" s="4"/>
    </row>
    <row r="214" spans="1:13">
      <c r="A214" s="3">
        <v>45781</v>
      </c>
      <c r="B214" s="4" t="s">
        <v>7</v>
      </c>
      <c r="C214" s="4" t="s">
        <v>24</v>
      </c>
      <c r="D214" s="4" t="s">
        <v>25</v>
      </c>
      <c r="E214" s="4">
        <v>4</v>
      </c>
      <c r="F214" s="4">
        <v>3570</v>
      </c>
      <c r="G214" s="4">
        <v>14280</v>
      </c>
      <c r="H214" s="4">
        <v>142363</v>
      </c>
      <c r="I214" s="4"/>
      <c r="J214" s="4"/>
      <c r="K214" s="4"/>
      <c r="L214" s="6">
        <f t="shared" si="3"/>
        <v>0.1003069617808</v>
      </c>
      <c r="M214" s="4"/>
    </row>
    <row r="215" spans="1:13">
      <c r="A215" s="3">
        <v>45820</v>
      </c>
      <c r="B215" s="4" t="s">
        <v>7</v>
      </c>
      <c r="C215" s="4" t="s">
        <v>24</v>
      </c>
      <c r="D215" s="4" t="s">
        <v>30</v>
      </c>
      <c r="E215" s="4">
        <v>5</v>
      </c>
      <c r="F215" s="4">
        <v>12568</v>
      </c>
      <c r="G215" s="4">
        <v>62840</v>
      </c>
      <c r="H215" s="4">
        <v>198405</v>
      </c>
      <c r="I215" s="4"/>
      <c r="J215" s="4"/>
      <c r="K215" s="4"/>
      <c r="L215" s="6">
        <f t="shared" si="3"/>
        <v>0.316725888964492</v>
      </c>
      <c r="M215" s="4"/>
    </row>
    <row r="216" spans="1:13">
      <c r="A216" s="3">
        <v>45727</v>
      </c>
      <c r="B216" s="4" t="s">
        <v>7</v>
      </c>
      <c r="C216" s="4" t="s">
        <v>24</v>
      </c>
      <c r="D216" s="4" t="s">
        <v>31</v>
      </c>
      <c r="E216" s="4">
        <v>4</v>
      </c>
      <c r="F216" s="4">
        <v>42908</v>
      </c>
      <c r="G216" s="4">
        <v>171632</v>
      </c>
      <c r="H216" s="4">
        <v>18090</v>
      </c>
      <c r="I216" s="4"/>
      <c r="J216" s="4"/>
      <c r="K216" s="4"/>
      <c r="L216" s="6">
        <f t="shared" si="3"/>
        <v>9.48767274737424</v>
      </c>
      <c r="M216" s="4"/>
    </row>
    <row r="217" spans="1:13">
      <c r="A217" s="3">
        <v>45722</v>
      </c>
      <c r="B217" s="4" t="s">
        <v>8</v>
      </c>
      <c r="C217" s="4" t="s">
        <v>26</v>
      </c>
      <c r="D217" s="4" t="s">
        <v>25</v>
      </c>
      <c r="E217" s="4">
        <v>7</v>
      </c>
      <c r="F217" s="4">
        <v>3173</v>
      </c>
      <c r="G217" s="4">
        <v>22211</v>
      </c>
      <c r="H217" s="4">
        <v>154885</v>
      </c>
      <c r="I217" s="4"/>
      <c r="J217" s="4"/>
      <c r="K217" s="4"/>
      <c r="L217" s="6">
        <f t="shared" si="3"/>
        <v>0.143403170093941</v>
      </c>
      <c r="M217" s="4"/>
    </row>
    <row r="218" spans="1:13">
      <c r="A218" s="3">
        <v>45709</v>
      </c>
      <c r="B218" s="4" t="s">
        <v>6</v>
      </c>
      <c r="C218" s="4" t="s">
        <v>26</v>
      </c>
      <c r="D218" s="4" t="s">
        <v>29</v>
      </c>
      <c r="E218" s="4">
        <v>8</v>
      </c>
      <c r="F218" s="4">
        <v>12167</v>
      </c>
      <c r="G218" s="4">
        <v>97336</v>
      </c>
      <c r="H218" s="4">
        <v>32693</v>
      </c>
      <c r="I218" s="4"/>
      <c r="J218" s="4"/>
      <c r="K218" s="4"/>
      <c r="L218" s="6">
        <f t="shared" si="3"/>
        <v>2.97727342244517</v>
      </c>
      <c r="M218" s="4"/>
    </row>
    <row r="219" spans="1:13">
      <c r="A219" s="3">
        <v>45681</v>
      </c>
      <c r="B219" s="4" t="s">
        <v>4</v>
      </c>
      <c r="C219" s="4" t="s">
        <v>22</v>
      </c>
      <c r="D219" s="4" t="s">
        <v>23</v>
      </c>
      <c r="E219" s="4">
        <v>3</v>
      </c>
      <c r="F219" s="4">
        <v>9093</v>
      </c>
      <c r="G219" s="4">
        <v>27279</v>
      </c>
      <c r="H219" s="4">
        <v>113908</v>
      </c>
      <c r="I219" s="4"/>
      <c r="J219" s="4"/>
      <c r="K219" s="4"/>
      <c r="L219" s="6">
        <f t="shared" si="3"/>
        <v>0.239482740457211</v>
      </c>
      <c r="M219" s="4"/>
    </row>
    <row r="220" spans="1:13">
      <c r="A220" s="3">
        <v>45743</v>
      </c>
      <c r="B220" s="4" t="s">
        <v>2</v>
      </c>
      <c r="C220" s="4" t="s">
        <v>28</v>
      </c>
      <c r="D220" s="4" t="s">
        <v>23</v>
      </c>
      <c r="E220" s="4">
        <v>10</v>
      </c>
      <c r="F220" s="4">
        <v>41391</v>
      </c>
      <c r="G220" s="4">
        <v>413910</v>
      </c>
      <c r="H220" s="4">
        <v>145577</v>
      </c>
      <c r="I220" s="4"/>
      <c r="J220" s="4"/>
      <c r="K220" s="4"/>
      <c r="L220" s="6">
        <f t="shared" si="3"/>
        <v>2.84323759934605</v>
      </c>
      <c r="M220" s="4"/>
    </row>
    <row r="221" spans="1:13">
      <c r="A221" s="3">
        <v>45658</v>
      </c>
      <c r="B221" s="4" t="s">
        <v>5</v>
      </c>
      <c r="C221" s="4" t="s">
        <v>24</v>
      </c>
      <c r="D221" s="4" t="s">
        <v>29</v>
      </c>
      <c r="E221" s="4">
        <v>6</v>
      </c>
      <c r="F221" s="4">
        <v>13188</v>
      </c>
      <c r="G221" s="4">
        <v>79128</v>
      </c>
      <c r="H221" s="4">
        <v>46984</v>
      </c>
      <c r="I221" s="4"/>
      <c r="J221" s="4"/>
      <c r="K221" s="4"/>
      <c r="L221" s="6">
        <f t="shared" si="3"/>
        <v>1.68414779499404</v>
      </c>
      <c r="M221" s="4"/>
    </row>
    <row r="222" spans="1:13">
      <c r="A222" s="3">
        <v>45708</v>
      </c>
      <c r="B222" s="4" t="s">
        <v>3</v>
      </c>
      <c r="C222" s="4" t="s">
        <v>26</v>
      </c>
      <c r="D222" s="4" t="s">
        <v>27</v>
      </c>
      <c r="E222" s="4">
        <v>4</v>
      </c>
      <c r="F222" s="4">
        <v>23643</v>
      </c>
      <c r="G222" s="4">
        <v>94572</v>
      </c>
      <c r="H222" s="4">
        <v>58181</v>
      </c>
      <c r="I222" s="4"/>
      <c r="J222" s="4"/>
      <c r="K222" s="4"/>
      <c r="L222" s="6">
        <f t="shared" si="3"/>
        <v>1.62547910829996</v>
      </c>
      <c r="M222" s="4"/>
    </row>
    <row r="223" spans="1:13">
      <c r="A223" s="3">
        <v>45739</v>
      </c>
      <c r="B223" s="4" t="s">
        <v>2</v>
      </c>
      <c r="C223" s="4" t="s">
        <v>24</v>
      </c>
      <c r="D223" s="4" t="s">
        <v>23</v>
      </c>
      <c r="E223" s="4">
        <v>1</v>
      </c>
      <c r="F223" s="4">
        <v>38693</v>
      </c>
      <c r="G223" s="4">
        <v>38693</v>
      </c>
      <c r="H223" s="4">
        <v>44488</v>
      </c>
      <c r="I223" s="4"/>
      <c r="J223" s="4"/>
      <c r="K223" s="4"/>
      <c r="L223" s="6">
        <f t="shared" si="3"/>
        <v>0.869740154648445</v>
      </c>
      <c r="M223" s="4"/>
    </row>
    <row r="224" spans="1:13">
      <c r="A224" s="3">
        <v>45834</v>
      </c>
      <c r="B224" s="4" t="s">
        <v>5</v>
      </c>
      <c r="C224" s="4" t="s">
        <v>28</v>
      </c>
      <c r="D224" s="4" t="s">
        <v>32</v>
      </c>
      <c r="E224" s="4">
        <v>10</v>
      </c>
      <c r="F224" s="4">
        <v>22740</v>
      </c>
      <c r="G224" s="4">
        <v>227400</v>
      </c>
      <c r="H224" s="4">
        <v>111598</v>
      </c>
      <c r="I224" s="4"/>
      <c r="J224" s="4"/>
      <c r="K224" s="4"/>
      <c r="L224" s="6">
        <f t="shared" si="3"/>
        <v>2.03767092600226</v>
      </c>
      <c r="M224" s="4"/>
    </row>
    <row r="225" spans="1:13">
      <c r="A225" s="3">
        <v>45817</v>
      </c>
      <c r="B225" s="4" t="s">
        <v>5</v>
      </c>
      <c r="C225" s="4" t="s">
        <v>28</v>
      </c>
      <c r="D225" s="4" t="s">
        <v>29</v>
      </c>
      <c r="E225" s="4">
        <v>8</v>
      </c>
      <c r="F225" s="4">
        <v>41040</v>
      </c>
      <c r="G225" s="4">
        <v>328320</v>
      </c>
      <c r="H225" s="4">
        <v>194483</v>
      </c>
      <c r="I225" s="4"/>
      <c r="J225" s="4"/>
      <c r="K225" s="4"/>
      <c r="L225" s="6">
        <f t="shared" si="3"/>
        <v>1.68816811752184</v>
      </c>
      <c r="M225" s="4"/>
    </row>
    <row r="226" spans="1:13">
      <c r="A226" s="3">
        <v>45753</v>
      </c>
      <c r="B226" s="4" t="s">
        <v>3</v>
      </c>
      <c r="C226" s="4" t="s">
        <v>26</v>
      </c>
      <c r="D226" s="4" t="s">
        <v>27</v>
      </c>
      <c r="E226" s="4">
        <v>4</v>
      </c>
      <c r="F226" s="4">
        <v>47778</v>
      </c>
      <c r="G226" s="4">
        <v>191112</v>
      </c>
      <c r="H226" s="4">
        <v>101651</v>
      </c>
      <c r="I226" s="4"/>
      <c r="J226" s="4"/>
      <c r="K226" s="4"/>
      <c r="L226" s="6">
        <f t="shared" si="3"/>
        <v>1.88007988116202</v>
      </c>
      <c r="M226" s="4"/>
    </row>
    <row r="227" spans="1:13">
      <c r="A227" s="3">
        <v>45680</v>
      </c>
      <c r="B227" s="4" t="s">
        <v>5</v>
      </c>
      <c r="C227" s="4" t="s">
        <v>24</v>
      </c>
      <c r="D227" s="4" t="s">
        <v>29</v>
      </c>
      <c r="E227" s="4">
        <v>3</v>
      </c>
      <c r="F227" s="4">
        <v>6625</v>
      </c>
      <c r="G227" s="4">
        <v>19875</v>
      </c>
      <c r="H227" s="4">
        <v>102282</v>
      </c>
      <c r="I227" s="4"/>
      <c r="J227" s="4"/>
      <c r="K227" s="4"/>
      <c r="L227" s="6">
        <f t="shared" si="3"/>
        <v>0.194315715375139</v>
      </c>
      <c r="M227" s="4"/>
    </row>
    <row r="228" spans="1:13">
      <c r="A228" s="3">
        <v>45710</v>
      </c>
      <c r="B228" s="4" t="s">
        <v>6</v>
      </c>
      <c r="C228" s="4" t="s">
        <v>26</v>
      </c>
      <c r="D228" s="4" t="s">
        <v>31</v>
      </c>
      <c r="E228" s="4">
        <v>6</v>
      </c>
      <c r="F228" s="4">
        <v>36513</v>
      </c>
      <c r="G228" s="4">
        <v>219078</v>
      </c>
      <c r="H228" s="4">
        <v>198997</v>
      </c>
      <c r="I228" s="4"/>
      <c r="J228" s="4"/>
      <c r="K228" s="4"/>
      <c r="L228" s="6">
        <f t="shared" si="3"/>
        <v>1.10091106901109</v>
      </c>
      <c r="M228" s="4"/>
    </row>
    <row r="229" spans="1:13">
      <c r="A229" s="3">
        <v>45781</v>
      </c>
      <c r="B229" s="4" t="s">
        <v>7</v>
      </c>
      <c r="C229" s="4" t="s">
        <v>22</v>
      </c>
      <c r="D229" s="4" t="s">
        <v>30</v>
      </c>
      <c r="E229" s="4">
        <v>7</v>
      </c>
      <c r="F229" s="4">
        <v>40880</v>
      </c>
      <c r="G229" s="4">
        <v>286160</v>
      </c>
      <c r="H229" s="4">
        <v>53248</v>
      </c>
      <c r="I229" s="4"/>
      <c r="J229" s="4"/>
      <c r="K229" s="4"/>
      <c r="L229" s="6">
        <f t="shared" si="3"/>
        <v>5.37409855769231</v>
      </c>
      <c r="M229" s="4"/>
    </row>
    <row r="230" spans="1:13">
      <c r="A230" s="3">
        <v>45665</v>
      </c>
      <c r="B230" s="4" t="s">
        <v>3</v>
      </c>
      <c r="C230" s="4" t="s">
        <v>26</v>
      </c>
      <c r="D230" s="4" t="s">
        <v>25</v>
      </c>
      <c r="E230" s="4">
        <v>5</v>
      </c>
      <c r="F230" s="4">
        <v>8172</v>
      </c>
      <c r="G230" s="4">
        <v>40860</v>
      </c>
      <c r="H230" s="4">
        <v>125089</v>
      </c>
      <c r="I230" s="4"/>
      <c r="J230" s="4"/>
      <c r="K230" s="4"/>
      <c r="L230" s="6">
        <f t="shared" si="3"/>
        <v>0.326647427031953</v>
      </c>
      <c r="M230" s="4"/>
    </row>
    <row r="231" spans="1:13">
      <c r="A231" s="3">
        <v>45700</v>
      </c>
      <c r="B231" s="4" t="s">
        <v>2</v>
      </c>
      <c r="C231" s="4" t="s">
        <v>26</v>
      </c>
      <c r="D231" s="4" t="s">
        <v>31</v>
      </c>
      <c r="E231" s="4">
        <v>10</v>
      </c>
      <c r="F231" s="4">
        <v>17962</v>
      </c>
      <c r="G231" s="4">
        <v>179620</v>
      </c>
      <c r="H231" s="4">
        <v>172651</v>
      </c>
      <c r="I231" s="4"/>
      <c r="J231" s="4"/>
      <c r="K231" s="4"/>
      <c r="L231" s="6">
        <f t="shared" si="3"/>
        <v>1.04036466629212</v>
      </c>
      <c r="M231" s="4"/>
    </row>
    <row r="232" spans="1:13">
      <c r="A232" s="3">
        <v>45733</v>
      </c>
      <c r="B232" s="4" t="s">
        <v>5</v>
      </c>
      <c r="C232" s="4" t="s">
        <v>28</v>
      </c>
      <c r="D232" s="4" t="s">
        <v>23</v>
      </c>
      <c r="E232" s="4">
        <v>10</v>
      </c>
      <c r="F232" s="4">
        <v>13447</v>
      </c>
      <c r="G232" s="4">
        <v>134470</v>
      </c>
      <c r="H232" s="4">
        <v>10039</v>
      </c>
      <c r="I232" s="4"/>
      <c r="J232" s="4"/>
      <c r="K232" s="4"/>
      <c r="L232" s="6">
        <f t="shared" si="3"/>
        <v>13.3947604343062</v>
      </c>
      <c r="M232" s="4"/>
    </row>
    <row r="233" spans="1:13">
      <c r="A233" s="3">
        <v>45670</v>
      </c>
      <c r="B233" s="4" t="s">
        <v>3</v>
      </c>
      <c r="C233" s="4" t="s">
        <v>22</v>
      </c>
      <c r="D233" s="4" t="s">
        <v>33</v>
      </c>
      <c r="E233" s="4">
        <v>5</v>
      </c>
      <c r="F233" s="4">
        <v>44328</v>
      </c>
      <c r="G233" s="4">
        <v>221640</v>
      </c>
      <c r="H233" s="4">
        <v>155307</v>
      </c>
      <c r="I233" s="4"/>
      <c r="J233" s="4"/>
      <c r="K233" s="4"/>
      <c r="L233" s="6">
        <f t="shared" si="3"/>
        <v>1.42710888755819</v>
      </c>
      <c r="M233" s="4"/>
    </row>
    <row r="234" spans="1:13">
      <c r="A234" s="3">
        <v>45740</v>
      </c>
      <c r="B234" s="4" t="s">
        <v>5</v>
      </c>
      <c r="C234" s="4" t="s">
        <v>28</v>
      </c>
      <c r="D234" s="4" t="s">
        <v>33</v>
      </c>
      <c r="E234" s="4">
        <v>4</v>
      </c>
      <c r="F234" s="4">
        <v>33638</v>
      </c>
      <c r="G234" s="4">
        <v>134552</v>
      </c>
      <c r="H234" s="4">
        <v>13091</v>
      </c>
      <c r="I234" s="4"/>
      <c r="J234" s="4"/>
      <c r="K234" s="4"/>
      <c r="L234" s="6">
        <f t="shared" si="3"/>
        <v>10.2782064013444</v>
      </c>
      <c r="M234" s="4"/>
    </row>
    <row r="235" spans="1:13">
      <c r="A235" s="3">
        <v>45712</v>
      </c>
      <c r="B235" s="4" t="s">
        <v>3</v>
      </c>
      <c r="C235" s="4" t="s">
        <v>22</v>
      </c>
      <c r="D235" s="4" t="s">
        <v>31</v>
      </c>
      <c r="E235" s="4">
        <v>9</v>
      </c>
      <c r="F235" s="4">
        <v>15585</v>
      </c>
      <c r="G235" s="4">
        <v>140265</v>
      </c>
      <c r="H235" s="4">
        <v>107708</v>
      </c>
      <c r="I235" s="4"/>
      <c r="J235" s="4"/>
      <c r="K235" s="4"/>
      <c r="L235" s="6">
        <f t="shared" si="3"/>
        <v>1.30227095480373</v>
      </c>
      <c r="M235" s="4"/>
    </row>
    <row r="236" spans="1:13">
      <c r="A236" s="3">
        <v>45733</v>
      </c>
      <c r="B236" s="4" t="s">
        <v>2</v>
      </c>
      <c r="C236" s="4" t="s">
        <v>24</v>
      </c>
      <c r="D236" s="4" t="s">
        <v>33</v>
      </c>
      <c r="E236" s="4">
        <v>1</v>
      </c>
      <c r="F236" s="4">
        <v>36419</v>
      </c>
      <c r="G236" s="4">
        <v>36419</v>
      </c>
      <c r="H236" s="4">
        <v>94803</v>
      </c>
      <c r="I236" s="4"/>
      <c r="J236" s="4"/>
      <c r="K236" s="4"/>
      <c r="L236" s="6">
        <f t="shared" si="3"/>
        <v>0.384154509878379</v>
      </c>
      <c r="M236" s="4"/>
    </row>
    <row r="237" spans="1:13">
      <c r="A237" s="3">
        <v>45811</v>
      </c>
      <c r="B237" s="4" t="s">
        <v>6</v>
      </c>
      <c r="C237" s="4" t="s">
        <v>22</v>
      </c>
      <c r="D237" s="4" t="s">
        <v>27</v>
      </c>
      <c r="E237" s="4">
        <v>7</v>
      </c>
      <c r="F237" s="4">
        <v>45611</v>
      </c>
      <c r="G237" s="4">
        <v>319277</v>
      </c>
      <c r="H237" s="4">
        <v>88240</v>
      </c>
      <c r="I237" s="4"/>
      <c r="J237" s="4"/>
      <c r="K237" s="4"/>
      <c r="L237" s="6">
        <f t="shared" si="3"/>
        <v>3.61827969174977</v>
      </c>
      <c r="M237" s="4"/>
    </row>
    <row r="238" spans="1:13">
      <c r="A238" s="3">
        <v>45788</v>
      </c>
      <c r="B238" s="4" t="s">
        <v>8</v>
      </c>
      <c r="C238" s="4" t="s">
        <v>22</v>
      </c>
      <c r="D238" s="4" t="s">
        <v>31</v>
      </c>
      <c r="E238" s="4">
        <v>1</v>
      </c>
      <c r="F238" s="4">
        <v>1262</v>
      </c>
      <c r="G238" s="4">
        <v>1262</v>
      </c>
      <c r="H238" s="4">
        <v>182279</v>
      </c>
      <c r="I238" s="4"/>
      <c r="J238" s="4"/>
      <c r="K238" s="4"/>
      <c r="L238" s="6">
        <f t="shared" si="3"/>
        <v>0.00692345250961438</v>
      </c>
      <c r="M238" s="4"/>
    </row>
    <row r="239" spans="1:13">
      <c r="A239" s="3">
        <v>45773</v>
      </c>
      <c r="B239" s="4" t="s">
        <v>2</v>
      </c>
      <c r="C239" s="4" t="s">
        <v>26</v>
      </c>
      <c r="D239" s="4" t="s">
        <v>29</v>
      </c>
      <c r="E239" s="4">
        <v>10</v>
      </c>
      <c r="F239" s="4">
        <v>49530</v>
      </c>
      <c r="G239" s="4">
        <v>495300</v>
      </c>
      <c r="H239" s="4">
        <v>94866</v>
      </c>
      <c r="I239" s="4"/>
      <c r="J239" s="4"/>
      <c r="K239" s="4"/>
      <c r="L239" s="6">
        <f t="shared" si="3"/>
        <v>5.22104863702486</v>
      </c>
      <c r="M239" s="4"/>
    </row>
    <row r="240" spans="1:13">
      <c r="A240" s="3">
        <v>45736</v>
      </c>
      <c r="B240" s="4" t="s">
        <v>4</v>
      </c>
      <c r="C240" s="4" t="s">
        <v>22</v>
      </c>
      <c r="D240" s="4" t="s">
        <v>25</v>
      </c>
      <c r="E240" s="4">
        <v>9</v>
      </c>
      <c r="F240" s="4">
        <v>38792</v>
      </c>
      <c r="G240" s="4">
        <v>349128</v>
      </c>
      <c r="H240" s="4">
        <v>36552</v>
      </c>
      <c r="I240" s="4"/>
      <c r="J240" s="4"/>
      <c r="K240" s="4"/>
      <c r="L240" s="6">
        <f t="shared" si="3"/>
        <v>9.55154300722259</v>
      </c>
      <c r="M240" s="4"/>
    </row>
    <row r="241" spans="1:13">
      <c r="A241" s="3">
        <v>45815</v>
      </c>
      <c r="B241" s="4" t="s">
        <v>4</v>
      </c>
      <c r="C241" s="4" t="s">
        <v>28</v>
      </c>
      <c r="D241" s="4" t="s">
        <v>32</v>
      </c>
      <c r="E241" s="4">
        <v>3</v>
      </c>
      <c r="F241" s="4">
        <v>26313</v>
      </c>
      <c r="G241" s="4">
        <v>78939</v>
      </c>
      <c r="H241" s="4">
        <v>180452</v>
      </c>
      <c r="I241" s="4"/>
      <c r="J241" s="4"/>
      <c r="K241" s="4"/>
      <c r="L241" s="6">
        <f t="shared" si="3"/>
        <v>0.437451510651032</v>
      </c>
      <c r="M241" s="4"/>
    </row>
    <row r="242" spans="1:13">
      <c r="A242" s="3">
        <v>45678</v>
      </c>
      <c r="B242" s="4" t="s">
        <v>6</v>
      </c>
      <c r="C242" s="4" t="s">
        <v>22</v>
      </c>
      <c r="D242" s="4" t="s">
        <v>23</v>
      </c>
      <c r="E242" s="4">
        <v>1</v>
      </c>
      <c r="F242" s="4">
        <v>49394</v>
      </c>
      <c r="G242" s="4">
        <v>49394</v>
      </c>
      <c r="H242" s="4">
        <v>27582</v>
      </c>
      <c r="I242" s="4"/>
      <c r="J242" s="4"/>
      <c r="K242" s="4"/>
      <c r="L242" s="6">
        <f t="shared" si="3"/>
        <v>1.79080559785367</v>
      </c>
      <c r="M242" s="4"/>
    </row>
    <row r="243" spans="1:13">
      <c r="A243" s="3">
        <v>45825</v>
      </c>
      <c r="B243" s="4" t="s">
        <v>4</v>
      </c>
      <c r="C243" s="4" t="s">
        <v>22</v>
      </c>
      <c r="D243" s="4" t="s">
        <v>29</v>
      </c>
      <c r="E243" s="4">
        <v>3</v>
      </c>
      <c r="F243" s="4">
        <v>6019</v>
      </c>
      <c r="G243" s="4">
        <v>18057</v>
      </c>
      <c r="H243" s="4">
        <v>41228</v>
      </c>
      <c r="I243" s="4"/>
      <c r="J243" s="4"/>
      <c r="K243" s="4"/>
      <c r="L243" s="6">
        <f t="shared" si="3"/>
        <v>0.437979043368584</v>
      </c>
      <c r="M243" s="4"/>
    </row>
    <row r="244" spans="1:13">
      <c r="A244" s="3">
        <v>45742</v>
      </c>
      <c r="B244" s="4" t="s">
        <v>6</v>
      </c>
      <c r="C244" s="4" t="s">
        <v>22</v>
      </c>
      <c r="D244" s="4" t="s">
        <v>25</v>
      </c>
      <c r="E244" s="4">
        <v>7</v>
      </c>
      <c r="F244" s="4">
        <v>48175</v>
      </c>
      <c r="G244" s="4">
        <v>337225</v>
      </c>
      <c r="H244" s="4">
        <v>52197</v>
      </c>
      <c r="I244" s="4"/>
      <c r="J244" s="4"/>
      <c r="K244" s="4"/>
      <c r="L244" s="6">
        <f t="shared" si="3"/>
        <v>6.46062034216526</v>
      </c>
      <c r="M244" s="4"/>
    </row>
    <row r="245" spans="1:13">
      <c r="A245" s="3">
        <v>45798</v>
      </c>
      <c r="B245" s="4" t="s">
        <v>3</v>
      </c>
      <c r="C245" s="4" t="s">
        <v>28</v>
      </c>
      <c r="D245" s="4" t="s">
        <v>23</v>
      </c>
      <c r="E245" s="4">
        <v>2</v>
      </c>
      <c r="F245" s="4">
        <v>48150</v>
      </c>
      <c r="G245" s="4">
        <v>96300</v>
      </c>
      <c r="H245" s="4">
        <v>193738</v>
      </c>
      <c r="I245" s="4"/>
      <c r="J245" s="4"/>
      <c r="K245" s="4"/>
      <c r="L245" s="6">
        <f t="shared" si="3"/>
        <v>0.497063043904655</v>
      </c>
      <c r="M245" s="4"/>
    </row>
    <row r="246" spans="1:13">
      <c r="A246" s="3">
        <v>45775</v>
      </c>
      <c r="B246" s="4" t="s">
        <v>3</v>
      </c>
      <c r="C246" s="4" t="s">
        <v>26</v>
      </c>
      <c r="D246" s="4" t="s">
        <v>32</v>
      </c>
      <c r="E246" s="4">
        <v>6</v>
      </c>
      <c r="F246" s="4">
        <v>38693</v>
      </c>
      <c r="G246" s="4">
        <v>232158</v>
      </c>
      <c r="H246" s="4">
        <v>93353</v>
      </c>
      <c r="I246" s="4"/>
      <c r="J246" s="4"/>
      <c r="K246" s="4"/>
      <c r="L246" s="6">
        <f t="shared" si="3"/>
        <v>2.48688312105663</v>
      </c>
      <c r="M246" s="4"/>
    </row>
    <row r="247" spans="1:13">
      <c r="A247" s="3">
        <v>45716</v>
      </c>
      <c r="B247" s="4" t="s">
        <v>4</v>
      </c>
      <c r="C247" s="4" t="s">
        <v>24</v>
      </c>
      <c r="D247" s="4" t="s">
        <v>32</v>
      </c>
      <c r="E247" s="4">
        <v>2</v>
      </c>
      <c r="F247" s="4">
        <v>14951</v>
      </c>
      <c r="G247" s="4">
        <v>29902</v>
      </c>
      <c r="H247" s="4">
        <v>34103</v>
      </c>
      <c r="I247" s="4"/>
      <c r="J247" s="4"/>
      <c r="K247" s="4"/>
      <c r="L247" s="6">
        <f t="shared" si="3"/>
        <v>0.876814356508225</v>
      </c>
      <c r="M247" s="4"/>
    </row>
    <row r="248" spans="1:13">
      <c r="A248" s="3">
        <v>45771</v>
      </c>
      <c r="B248" s="4" t="s">
        <v>5</v>
      </c>
      <c r="C248" s="4" t="s">
        <v>28</v>
      </c>
      <c r="D248" s="4" t="s">
        <v>27</v>
      </c>
      <c r="E248" s="4">
        <v>6</v>
      </c>
      <c r="F248" s="4">
        <v>31878</v>
      </c>
      <c r="G248" s="4">
        <v>191268</v>
      </c>
      <c r="H248" s="4">
        <v>16252</v>
      </c>
      <c r="I248" s="4"/>
      <c r="J248" s="4"/>
      <c r="K248" s="4"/>
      <c r="L248" s="6">
        <f t="shared" si="3"/>
        <v>11.7688899827714</v>
      </c>
      <c r="M248" s="4"/>
    </row>
    <row r="249" spans="1:13">
      <c r="A249" s="3">
        <v>45819</v>
      </c>
      <c r="B249" s="4" t="s">
        <v>4</v>
      </c>
      <c r="C249" s="4" t="s">
        <v>22</v>
      </c>
      <c r="D249" s="4" t="s">
        <v>25</v>
      </c>
      <c r="E249" s="4">
        <v>8</v>
      </c>
      <c r="F249" s="4">
        <v>26720</v>
      </c>
      <c r="G249" s="4">
        <v>213760</v>
      </c>
      <c r="H249" s="4">
        <v>77878</v>
      </c>
      <c r="I249" s="4"/>
      <c r="J249" s="4"/>
      <c r="K249" s="4"/>
      <c r="L249" s="6">
        <f t="shared" si="3"/>
        <v>2.74480597858188</v>
      </c>
      <c r="M249" s="4"/>
    </row>
    <row r="250" spans="1:13">
      <c r="A250" s="3">
        <v>45693</v>
      </c>
      <c r="B250" s="4" t="s">
        <v>5</v>
      </c>
      <c r="C250" s="4" t="s">
        <v>24</v>
      </c>
      <c r="D250" s="4" t="s">
        <v>32</v>
      </c>
      <c r="E250" s="4">
        <v>8</v>
      </c>
      <c r="F250" s="4">
        <v>24606</v>
      </c>
      <c r="G250" s="4">
        <v>196848</v>
      </c>
      <c r="H250" s="4">
        <v>25537</v>
      </c>
      <c r="I250" s="4"/>
      <c r="J250" s="4"/>
      <c r="K250" s="4"/>
      <c r="L250" s="6">
        <f t="shared" si="3"/>
        <v>7.7083447546697</v>
      </c>
      <c r="M250" s="4"/>
    </row>
    <row r="251" spans="1:13">
      <c r="A251" s="3">
        <v>45673</v>
      </c>
      <c r="B251" s="4" t="s">
        <v>4</v>
      </c>
      <c r="C251" s="4" t="s">
        <v>28</v>
      </c>
      <c r="D251" s="4" t="s">
        <v>31</v>
      </c>
      <c r="E251" s="4">
        <v>6</v>
      </c>
      <c r="F251" s="4">
        <v>16690</v>
      </c>
      <c r="G251" s="4">
        <v>100140</v>
      </c>
      <c r="H251" s="4">
        <v>151838</v>
      </c>
      <c r="I251" s="4"/>
      <c r="J251" s="4"/>
      <c r="K251" s="4"/>
      <c r="L251" s="6">
        <f t="shared" si="3"/>
        <v>0.659518697559241</v>
      </c>
      <c r="M251" s="4"/>
    </row>
    <row r="252" spans="1:13">
      <c r="A252" s="3">
        <v>45781</v>
      </c>
      <c r="B252" s="4" t="s">
        <v>5</v>
      </c>
      <c r="C252" s="4" t="s">
        <v>26</v>
      </c>
      <c r="D252" s="4" t="s">
        <v>25</v>
      </c>
      <c r="E252" s="4">
        <v>8</v>
      </c>
      <c r="F252" s="4">
        <v>29845</v>
      </c>
      <c r="G252" s="4">
        <v>238760</v>
      </c>
      <c r="H252" s="4">
        <v>152483</v>
      </c>
      <c r="I252" s="4"/>
      <c r="J252" s="4"/>
      <c r="K252" s="4"/>
      <c r="L252" s="6">
        <f t="shared" si="3"/>
        <v>1.56581389400786</v>
      </c>
      <c r="M252" s="4"/>
    </row>
    <row r="253" spans="1:13">
      <c r="A253" s="3">
        <v>45707</v>
      </c>
      <c r="B253" s="4" t="s">
        <v>3</v>
      </c>
      <c r="C253" s="4" t="s">
        <v>24</v>
      </c>
      <c r="D253" s="4" t="s">
        <v>25</v>
      </c>
      <c r="E253" s="4">
        <v>7</v>
      </c>
      <c r="F253" s="4">
        <v>24118</v>
      </c>
      <c r="G253" s="4">
        <v>168826</v>
      </c>
      <c r="H253" s="4">
        <v>83436</v>
      </c>
      <c r="I253" s="4"/>
      <c r="J253" s="4"/>
      <c r="K253" s="4"/>
      <c r="L253" s="6">
        <f t="shared" si="3"/>
        <v>2.02341914761014</v>
      </c>
      <c r="M253" s="4"/>
    </row>
    <row r="254" spans="1:13">
      <c r="A254" s="3">
        <v>45709</v>
      </c>
      <c r="B254" s="4" t="s">
        <v>8</v>
      </c>
      <c r="C254" s="4" t="s">
        <v>26</v>
      </c>
      <c r="D254" s="4" t="s">
        <v>30</v>
      </c>
      <c r="E254" s="4">
        <v>1</v>
      </c>
      <c r="F254" s="4">
        <v>32163</v>
      </c>
      <c r="G254" s="4">
        <v>32163</v>
      </c>
      <c r="H254" s="4">
        <v>36522</v>
      </c>
      <c r="I254" s="4"/>
      <c r="J254" s="4"/>
      <c r="K254" s="4"/>
      <c r="L254" s="6">
        <f t="shared" si="3"/>
        <v>0.880647281090849</v>
      </c>
      <c r="M254" s="4"/>
    </row>
    <row r="255" spans="1:13">
      <c r="A255" s="3">
        <v>45793</v>
      </c>
      <c r="B255" s="4" t="s">
        <v>4</v>
      </c>
      <c r="C255" s="4" t="s">
        <v>22</v>
      </c>
      <c r="D255" s="4" t="s">
        <v>23</v>
      </c>
      <c r="E255" s="4">
        <v>3</v>
      </c>
      <c r="F255" s="4">
        <v>32238</v>
      </c>
      <c r="G255" s="4">
        <v>96714</v>
      </c>
      <c r="H255" s="4">
        <v>138529</v>
      </c>
      <c r="I255" s="4"/>
      <c r="J255" s="4"/>
      <c r="K255" s="4"/>
      <c r="L255" s="6">
        <f t="shared" si="3"/>
        <v>0.698149845880646</v>
      </c>
      <c r="M255" s="4"/>
    </row>
    <row r="256" spans="1:13">
      <c r="A256" s="3">
        <v>45672</v>
      </c>
      <c r="B256" s="4" t="s">
        <v>2</v>
      </c>
      <c r="C256" s="4" t="s">
        <v>28</v>
      </c>
      <c r="D256" s="4" t="s">
        <v>31</v>
      </c>
      <c r="E256" s="4">
        <v>2</v>
      </c>
      <c r="F256" s="4">
        <v>28578</v>
      </c>
      <c r="G256" s="4">
        <v>57156</v>
      </c>
      <c r="H256" s="4">
        <v>31825</v>
      </c>
      <c r="I256" s="4"/>
      <c r="J256" s="4"/>
      <c r="K256" s="4"/>
      <c r="L256" s="6">
        <f t="shared" si="3"/>
        <v>1.7959465828751</v>
      </c>
      <c r="M256" s="4"/>
    </row>
    <row r="257" spans="1:13">
      <c r="A257" s="3">
        <v>45701</v>
      </c>
      <c r="B257" s="4" t="s">
        <v>6</v>
      </c>
      <c r="C257" s="4" t="s">
        <v>28</v>
      </c>
      <c r="D257" s="4" t="s">
        <v>27</v>
      </c>
      <c r="E257" s="4">
        <v>9</v>
      </c>
      <c r="F257" s="4">
        <v>46403</v>
      </c>
      <c r="G257" s="4">
        <v>417627</v>
      </c>
      <c r="H257" s="4">
        <v>115591</v>
      </c>
      <c r="I257" s="4"/>
      <c r="J257" s="4"/>
      <c r="K257" s="4"/>
      <c r="L257" s="6">
        <f t="shared" si="3"/>
        <v>3.6129715981348</v>
      </c>
      <c r="M257" s="4"/>
    </row>
    <row r="258" spans="1:13">
      <c r="A258" s="3">
        <v>45733</v>
      </c>
      <c r="B258" s="4" t="s">
        <v>6</v>
      </c>
      <c r="C258" s="4" t="s">
        <v>28</v>
      </c>
      <c r="D258" s="4" t="s">
        <v>25</v>
      </c>
      <c r="E258" s="4">
        <v>9</v>
      </c>
      <c r="F258" s="4">
        <v>16156</v>
      </c>
      <c r="G258" s="4">
        <v>145404</v>
      </c>
      <c r="H258" s="4">
        <v>94660</v>
      </c>
      <c r="I258" s="4"/>
      <c r="J258" s="4"/>
      <c r="K258" s="4"/>
      <c r="L258" s="6">
        <f t="shared" si="3"/>
        <v>1.53606592013522</v>
      </c>
      <c r="M258" s="4"/>
    </row>
    <row r="259" spans="1:13">
      <c r="A259" s="3">
        <v>45785</v>
      </c>
      <c r="B259" s="4" t="s">
        <v>2</v>
      </c>
      <c r="C259" s="4" t="s">
        <v>22</v>
      </c>
      <c r="D259" s="4" t="s">
        <v>30</v>
      </c>
      <c r="E259" s="4">
        <v>8</v>
      </c>
      <c r="F259" s="4">
        <v>1373</v>
      </c>
      <c r="G259" s="4">
        <v>10984</v>
      </c>
      <c r="H259" s="4">
        <v>66107</v>
      </c>
      <c r="I259" s="4"/>
      <c r="J259" s="4"/>
      <c r="K259" s="4"/>
      <c r="L259" s="6">
        <f t="shared" ref="L259:L322" si="4">G259/H259</f>
        <v>0.166154870134782</v>
      </c>
      <c r="M259" s="4"/>
    </row>
    <row r="260" spans="1:13">
      <c r="A260" s="3">
        <v>45811</v>
      </c>
      <c r="B260" s="4" t="s">
        <v>8</v>
      </c>
      <c r="C260" s="4" t="s">
        <v>26</v>
      </c>
      <c r="D260" s="4" t="s">
        <v>27</v>
      </c>
      <c r="E260" s="4">
        <v>6</v>
      </c>
      <c r="F260" s="4">
        <v>760</v>
      </c>
      <c r="G260" s="4">
        <v>4560</v>
      </c>
      <c r="H260" s="4">
        <v>29521</v>
      </c>
      <c r="I260" s="4"/>
      <c r="J260" s="4"/>
      <c r="K260" s="4"/>
      <c r="L260" s="6">
        <f t="shared" si="4"/>
        <v>0.154466312116798</v>
      </c>
      <c r="M260" s="4"/>
    </row>
    <row r="261" spans="1:13">
      <c r="A261" s="3">
        <v>45726</v>
      </c>
      <c r="B261" s="4" t="s">
        <v>5</v>
      </c>
      <c r="C261" s="4" t="s">
        <v>28</v>
      </c>
      <c r="D261" s="4" t="s">
        <v>25</v>
      </c>
      <c r="E261" s="4">
        <v>5</v>
      </c>
      <c r="F261" s="4">
        <v>7365</v>
      </c>
      <c r="G261" s="4">
        <v>36825</v>
      </c>
      <c r="H261" s="4">
        <v>187106</v>
      </c>
      <c r="I261" s="4"/>
      <c r="J261" s="4"/>
      <c r="K261" s="4"/>
      <c r="L261" s="6">
        <f t="shared" si="4"/>
        <v>0.19681357091702</v>
      </c>
      <c r="M261" s="4"/>
    </row>
    <row r="262" spans="1:13">
      <c r="A262" s="3">
        <v>45827</v>
      </c>
      <c r="B262" s="4" t="s">
        <v>7</v>
      </c>
      <c r="C262" s="4" t="s">
        <v>28</v>
      </c>
      <c r="D262" s="4" t="s">
        <v>29</v>
      </c>
      <c r="E262" s="4">
        <v>4</v>
      </c>
      <c r="F262" s="4">
        <v>48597</v>
      </c>
      <c r="G262" s="4">
        <v>194388</v>
      </c>
      <c r="H262" s="4">
        <v>165461</v>
      </c>
      <c r="I262" s="4"/>
      <c r="J262" s="4"/>
      <c r="K262" s="4"/>
      <c r="L262" s="6">
        <f t="shared" si="4"/>
        <v>1.17482669632119</v>
      </c>
      <c r="M262" s="4"/>
    </row>
    <row r="263" spans="1:13">
      <c r="A263" s="3">
        <v>45724</v>
      </c>
      <c r="B263" s="4" t="s">
        <v>7</v>
      </c>
      <c r="C263" s="4" t="s">
        <v>28</v>
      </c>
      <c r="D263" s="4" t="s">
        <v>29</v>
      </c>
      <c r="E263" s="4">
        <v>9</v>
      </c>
      <c r="F263" s="4">
        <v>24370</v>
      </c>
      <c r="G263" s="4">
        <v>219330</v>
      </c>
      <c r="H263" s="4">
        <v>60940</v>
      </c>
      <c r="I263" s="4"/>
      <c r="J263" s="4"/>
      <c r="K263" s="4"/>
      <c r="L263" s="6">
        <f t="shared" si="4"/>
        <v>3.59911388250738</v>
      </c>
      <c r="M263" s="4"/>
    </row>
    <row r="264" spans="1:13">
      <c r="A264" s="3">
        <v>45796</v>
      </c>
      <c r="B264" s="4" t="s">
        <v>8</v>
      </c>
      <c r="C264" s="4" t="s">
        <v>28</v>
      </c>
      <c r="D264" s="4" t="s">
        <v>23</v>
      </c>
      <c r="E264" s="4">
        <v>4</v>
      </c>
      <c r="F264" s="4">
        <v>17949</v>
      </c>
      <c r="G264" s="4">
        <v>71796</v>
      </c>
      <c r="H264" s="4">
        <v>41870</v>
      </c>
      <c r="I264" s="4"/>
      <c r="J264" s="4"/>
      <c r="K264" s="4"/>
      <c r="L264" s="6">
        <f t="shared" si="4"/>
        <v>1.71473608789109</v>
      </c>
      <c r="M264" s="4"/>
    </row>
    <row r="265" spans="1:13">
      <c r="A265" s="3">
        <v>45674</v>
      </c>
      <c r="B265" s="4" t="s">
        <v>8</v>
      </c>
      <c r="C265" s="4" t="s">
        <v>22</v>
      </c>
      <c r="D265" s="4" t="s">
        <v>33</v>
      </c>
      <c r="E265" s="4">
        <v>6</v>
      </c>
      <c r="F265" s="4">
        <v>48641</v>
      </c>
      <c r="G265" s="4">
        <v>291846</v>
      </c>
      <c r="H265" s="4">
        <v>190449</v>
      </c>
      <c r="I265" s="4"/>
      <c r="J265" s="4"/>
      <c r="K265" s="4"/>
      <c r="L265" s="6">
        <f t="shared" si="4"/>
        <v>1.53241025156341</v>
      </c>
      <c r="M265" s="4"/>
    </row>
    <row r="266" spans="1:13">
      <c r="A266" s="3">
        <v>45799</v>
      </c>
      <c r="B266" s="4" t="s">
        <v>3</v>
      </c>
      <c r="C266" s="4" t="s">
        <v>24</v>
      </c>
      <c r="D266" s="4" t="s">
        <v>30</v>
      </c>
      <c r="E266" s="4">
        <v>9</v>
      </c>
      <c r="F266" s="4">
        <v>46321</v>
      </c>
      <c r="G266" s="4">
        <v>416889</v>
      </c>
      <c r="H266" s="4">
        <v>88666</v>
      </c>
      <c r="I266" s="4"/>
      <c r="J266" s="4"/>
      <c r="K266" s="4"/>
      <c r="L266" s="6">
        <f t="shared" si="4"/>
        <v>4.70179099090971</v>
      </c>
      <c r="M266" s="4"/>
    </row>
    <row r="267" spans="1:13">
      <c r="A267" s="3">
        <v>45663</v>
      </c>
      <c r="B267" s="4" t="s">
        <v>7</v>
      </c>
      <c r="C267" s="4" t="s">
        <v>24</v>
      </c>
      <c r="D267" s="4" t="s">
        <v>32</v>
      </c>
      <c r="E267" s="4">
        <v>2</v>
      </c>
      <c r="F267" s="4">
        <v>8476</v>
      </c>
      <c r="G267" s="4">
        <v>16952</v>
      </c>
      <c r="H267" s="4">
        <v>62514</v>
      </c>
      <c r="I267" s="4"/>
      <c r="J267" s="4"/>
      <c r="K267" s="4"/>
      <c r="L267" s="6">
        <f t="shared" si="4"/>
        <v>0.271171257638289</v>
      </c>
      <c r="M267" s="4"/>
    </row>
    <row r="268" spans="1:13">
      <c r="A268" s="3">
        <v>45771</v>
      </c>
      <c r="B268" s="4" t="s">
        <v>2</v>
      </c>
      <c r="C268" s="4" t="s">
        <v>26</v>
      </c>
      <c r="D268" s="4" t="s">
        <v>29</v>
      </c>
      <c r="E268" s="4">
        <v>5</v>
      </c>
      <c r="F268" s="4">
        <v>26357</v>
      </c>
      <c r="G268" s="4">
        <v>131785</v>
      </c>
      <c r="H268" s="4">
        <v>58444</v>
      </c>
      <c r="I268" s="4"/>
      <c r="J268" s="4"/>
      <c r="K268" s="4"/>
      <c r="L268" s="6">
        <f t="shared" si="4"/>
        <v>2.25489357333516</v>
      </c>
      <c r="M268" s="4"/>
    </row>
    <row r="269" spans="1:13">
      <c r="A269" s="3">
        <v>45781</v>
      </c>
      <c r="B269" s="4" t="s">
        <v>6</v>
      </c>
      <c r="C269" s="4" t="s">
        <v>22</v>
      </c>
      <c r="D269" s="4" t="s">
        <v>31</v>
      </c>
      <c r="E269" s="4">
        <v>4</v>
      </c>
      <c r="F269" s="4">
        <v>37285</v>
      </c>
      <c r="G269" s="4">
        <v>149140</v>
      </c>
      <c r="H269" s="4">
        <v>153663</v>
      </c>
      <c r="I269" s="4"/>
      <c r="J269" s="4"/>
      <c r="K269" s="4"/>
      <c r="L269" s="6">
        <f t="shared" si="4"/>
        <v>0.970565458177961</v>
      </c>
      <c r="M269" s="4"/>
    </row>
    <row r="270" spans="1:13">
      <c r="A270" s="3">
        <v>45835</v>
      </c>
      <c r="B270" s="4" t="s">
        <v>6</v>
      </c>
      <c r="C270" s="4" t="s">
        <v>26</v>
      </c>
      <c r="D270" s="4" t="s">
        <v>25</v>
      </c>
      <c r="E270" s="4">
        <v>1</v>
      </c>
      <c r="F270" s="4">
        <v>27621</v>
      </c>
      <c r="G270" s="4">
        <v>27621</v>
      </c>
      <c r="H270" s="4">
        <v>13150</v>
      </c>
      <c r="I270" s="4"/>
      <c r="J270" s="4"/>
      <c r="K270" s="4"/>
      <c r="L270" s="6">
        <f t="shared" si="4"/>
        <v>2.10045627376426</v>
      </c>
      <c r="M270" s="4"/>
    </row>
    <row r="271" spans="1:13">
      <c r="A271" s="3">
        <v>45827</v>
      </c>
      <c r="B271" s="4" t="s">
        <v>4</v>
      </c>
      <c r="C271" s="4" t="s">
        <v>28</v>
      </c>
      <c r="D271" s="4" t="s">
        <v>32</v>
      </c>
      <c r="E271" s="4">
        <v>8</v>
      </c>
      <c r="F271" s="4">
        <v>11215</v>
      </c>
      <c r="G271" s="4">
        <v>89720</v>
      </c>
      <c r="H271" s="4">
        <v>58070</v>
      </c>
      <c r="I271" s="4"/>
      <c r="J271" s="4"/>
      <c r="K271" s="4"/>
      <c r="L271" s="6">
        <f t="shared" si="4"/>
        <v>1.54503185810229</v>
      </c>
      <c r="M271" s="4"/>
    </row>
    <row r="272" spans="1:13">
      <c r="A272" s="3">
        <v>45795</v>
      </c>
      <c r="B272" s="4" t="s">
        <v>4</v>
      </c>
      <c r="C272" s="4" t="s">
        <v>28</v>
      </c>
      <c r="D272" s="4" t="s">
        <v>25</v>
      </c>
      <c r="E272" s="4">
        <v>3</v>
      </c>
      <c r="F272" s="4">
        <v>33233</v>
      </c>
      <c r="G272" s="4">
        <v>99699</v>
      </c>
      <c r="H272" s="4">
        <v>52664</v>
      </c>
      <c r="I272" s="4"/>
      <c r="J272" s="4"/>
      <c r="K272" s="4"/>
      <c r="L272" s="6">
        <f t="shared" si="4"/>
        <v>1.89311484125779</v>
      </c>
      <c r="M272" s="4"/>
    </row>
    <row r="273" spans="1:13">
      <c r="A273" s="3">
        <v>45782</v>
      </c>
      <c r="B273" s="4" t="s">
        <v>5</v>
      </c>
      <c r="C273" s="4" t="s">
        <v>28</v>
      </c>
      <c r="D273" s="4" t="s">
        <v>31</v>
      </c>
      <c r="E273" s="4">
        <v>1</v>
      </c>
      <c r="F273" s="4">
        <v>49301</v>
      </c>
      <c r="G273" s="4">
        <v>49301</v>
      </c>
      <c r="H273" s="4">
        <v>49975</v>
      </c>
      <c r="I273" s="4"/>
      <c r="J273" s="4"/>
      <c r="K273" s="4"/>
      <c r="L273" s="6">
        <f t="shared" si="4"/>
        <v>0.986513256628314</v>
      </c>
      <c r="M273" s="4"/>
    </row>
    <row r="274" spans="1:13">
      <c r="A274" s="3">
        <v>45670</v>
      </c>
      <c r="B274" s="4" t="s">
        <v>7</v>
      </c>
      <c r="C274" s="4" t="s">
        <v>24</v>
      </c>
      <c r="D274" s="4" t="s">
        <v>33</v>
      </c>
      <c r="E274" s="4">
        <v>2</v>
      </c>
      <c r="F274" s="4">
        <v>35118</v>
      </c>
      <c r="G274" s="4">
        <v>70236</v>
      </c>
      <c r="H274" s="4">
        <v>120885</v>
      </c>
      <c r="I274" s="4"/>
      <c r="J274" s="4"/>
      <c r="K274" s="4"/>
      <c r="L274" s="6">
        <f t="shared" si="4"/>
        <v>0.581015014269761</v>
      </c>
      <c r="M274" s="4"/>
    </row>
    <row r="275" spans="1:13">
      <c r="A275" s="3">
        <v>45761</v>
      </c>
      <c r="B275" s="4" t="s">
        <v>2</v>
      </c>
      <c r="C275" s="4" t="s">
        <v>26</v>
      </c>
      <c r="D275" s="4" t="s">
        <v>30</v>
      </c>
      <c r="E275" s="4">
        <v>6</v>
      </c>
      <c r="F275" s="4">
        <v>9588</v>
      </c>
      <c r="G275" s="4">
        <v>57528</v>
      </c>
      <c r="H275" s="4">
        <v>146213</v>
      </c>
      <c r="I275" s="4"/>
      <c r="J275" s="4"/>
      <c r="K275" s="4"/>
      <c r="L275" s="6">
        <f t="shared" si="4"/>
        <v>0.393453386497781</v>
      </c>
      <c r="M275" s="4"/>
    </row>
    <row r="276" spans="1:13">
      <c r="A276" s="3">
        <v>45831</v>
      </c>
      <c r="B276" s="4" t="s">
        <v>4</v>
      </c>
      <c r="C276" s="4" t="s">
        <v>28</v>
      </c>
      <c r="D276" s="4" t="s">
        <v>25</v>
      </c>
      <c r="E276" s="4">
        <v>9</v>
      </c>
      <c r="F276" s="4">
        <v>24146</v>
      </c>
      <c r="G276" s="4">
        <v>217314</v>
      </c>
      <c r="H276" s="4">
        <v>54555</v>
      </c>
      <c r="I276" s="4"/>
      <c r="J276" s="4"/>
      <c r="K276" s="4"/>
      <c r="L276" s="6">
        <f t="shared" si="4"/>
        <v>3.98339290624141</v>
      </c>
      <c r="M276" s="4"/>
    </row>
    <row r="277" spans="1:13">
      <c r="A277" s="3">
        <v>45765</v>
      </c>
      <c r="B277" s="4" t="s">
        <v>4</v>
      </c>
      <c r="C277" s="4" t="s">
        <v>24</v>
      </c>
      <c r="D277" s="4" t="s">
        <v>29</v>
      </c>
      <c r="E277" s="4">
        <v>8</v>
      </c>
      <c r="F277" s="4">
        <v>7695</v>
      </c>
      <c r="G277" s="4">
        <v>61560</v>
      </c>
      <c r="H277" s="4">
        <v>103239</v>
      </c>
      <c r="I277" s="4"/>
      <c r="J277" s="4"/>
      <c r="K277" s="4"/>
      <c r="L277" s="6">
        <f t="shared" si="4"/>
        <v>0.596286287158923</v>
      </c>
      <c r="M277" s="4"/>
    </row>
    <row r="278" spans="1:13">
      <c r="A278" s="3">
        <v>45798</v>
      </c>
      <c r="B278" s="4" t="s">
        <v>6</v>
      </c>
      <c r="C278" s="4" t="s">
        <v>24</v>
      </c>
      <c r="D278" s="4" t="s">
        <v>30</v>
      </c>
      <c r="E278" s="4">
        <v>9</v>
      </c>
      <c r="F278" s="4">
        <v>26253</v>
      </c>
      <c r="G278" s="4">
        <v>236277</v>
      </c>
      <c r="H278" s="4">
        <v>71763</v>
      </c>
      <c r="I278" s="4"/>
      <c r="J278" s="4"/>
      <c r="K278" s="4"/>
      <c r="L278" s="6">
        <f t="shared" si="4"/>
        <v>3.29246268968689</v>
      </c>
      <c r="M278" s="4"/>
    </row>
    <row r="279" spans="1:13">
      <c r="A279" s="3">
        <v>45773</v>
      </c>
      <c r="B279" s="4" t="s">
        <v>7</v>
      </c>
      <c r="C279" s="4" t="s">
        <v>22</v>
      </c>
      <c r="D279" s="4" t="s">
        <v>30</v>
      </c>
      <c r="E279" s="4">
        <v>9</v>
      </c>
      <c r="F279" s="4">
        <v>21411</v>
      </c>
      <c r="G279" s="4">
        <v>192699</v>
      </c>
      <c r="H279" s="4">
        <v>75286</v>
      </c>
      <c r="I279" s="4"/>
      <c r="J279" s="4"/>
      <c r="K279" s="4"/>
      <c r="L279" s="6">
        <f t="shared" si="4"/>
        <v>2.55955954626358</v>
      </c>
      <c r="M279" s="4"/>
    </row>
    <row r="280" spans="1:13">
      <c r="A280" s="3">
        <v>45666</v>
      </c>
      <c r="B280" s="4" t="s">
        <v>8</v>
      </c>
      <c r="C280" s="4" t="s">
        <v>22</v>
      </c>
      <c r="D280" s="4" t="s">
        <v>32</v>
      </c>
      <c r="E280" s="4">
        <v>1</v>
      </c>
      <c r="F280" s="4">
        <v>31142</v>
      </c>
      <c r="G280" s="4">
        <v>31142</v>
      </c>
      <c r="H280" s="4">
        <v>142293</v>
      </c>
      <c r="I280" s="4"/>
      <c r="J280" s="4"/>
      <c r="K280" s="4"/>
      <c r="L280" s="6">
        <f t="shared" si="4"/>
        <v>0.218858271313417</v>
      </c>
      <c r="M280" s="4"/>
    </row>
    <row r="281" spans="1:13">
      <c r="A281" s="3">
        <v>45730</v>
      </c>
      <c r="B281" s="4" t="s">
        <v>8</v>
      </c>
      <c r="C281" s="4" t="s">
        <v>24</v>
      </c>
      <c r="D281" s="4" t="s">
        <v>33</v>
      </c>
      <c r="E281" s="4">
        <v>8</v>
      </c>
      <c r="F281" s="4">
        <v>18594</v>
      </c>
      <c r="G281" s="4">
        <v>148752</v>
      </c>
      <c r="H281" s="4">
        <v>60279</v>
      </c>
      <c r="I281" s="4"/>
      <c r="J281" s="4"/>
      <c r="K281" s="4"/>
      <c r="L281" s="6">
        <f t="shared" si="4"/>
        <v>2.46772507838551</v>
      </c>
      <c r="M281" s="4"/>
    </row>
    <row r="282" spans="1:13">
      <c r="A282" s="3">
        <v>45765</v>
      </c>
      <c r="B282" s="4" t="s">
        <v>5</v>
      </c>
      <c r="C282" s="4" t="s">
        <v>24</v>
      </c>
      <c r="D282" s="4" t="s">
        <v>25</v>
      </c>
      <c r="E282" s="4">
        <v>8</v>
      </c>
      <c r="F282" s="4">
        <v>18569</v>
      </c>
      <c r="G282" s="4">
        <v>148552</v>
      </c>
      <c r="H282" s="4">
        <v>163061</v>
      </c>
      <c r="I282" s="4"/>
      <c r="J282" s="4"/>
      <c r="K282" s="4"/>
      <c r="L282" s="6">
        <f t="shared" si="4"/>
        <v>0.91102102894009</v>
      </c>
      <c r="M282" s="4"/>
    </row>
    <row r="283" spans="1:13">
      <c r="A283" s="3">
        <v>45724</v>
      </c>
      <c r="B283" s="4" t="s">
        <v>8</v>
      </c>
      <c r="C283" s="4" t="s">
        <v>22</v>
      </c>
      <c r="D283" s="4" t="s">
        <v>31</v>
      </c>
      <c r="E283" s="4">
        <v>4</v>
      </c>
      <c r="F283" s="4">
        <v>23129</v>
      </c>
      <c r="G283" s="4">
        <v>92516</v>
      </c>
      <c r="H283" s="4">
        <v>176344</v>
      </c>
      <c r="I283" s="4"/>
      <c r="J283" s="4"/>
      <c r="K283" s="4"/>
      <c r="L283" s="6">
        <f t="shared" si="4"/>
        <v>0.52463367055301</v>
      </c>
      <c r="M283" s="4"/>
    </row>
    <row r="284" spans="1:13">
      <c r="A284" s="3">
        <v>45831</v>
      </c>
      <c r="B284" s="4" t="s">
        <v>6</v>
      </c>
      <c r="C284" s="4" t="s">
        <v>24</v>
      </c>
      <c r="D284" s="4" t="s">
        <v>30</v>
      </c>
      <c r="E284" s="4">
        <v>3</v>
      </c>
      <c r="F284" s="4">
        <v>27861</v>
      </c>
      <c r="G284" s="4">
        <v>83583</v>
      </c>
      <c r="H284" s="4">
        <v>110682</v>
      </c>
      <c r="I284" s="4"/>
      <c r="J284" s="4"/>
      <c r="K284" s="4"/>
      <c r="L284" s="6">
        <f t="shared" si="4"/>
        <v>0.755163441209953</v>
      </c>
      <c r="M284" s="4"/>
    </row>
    <row r="285" spans="1:13">
      <c r="A285" s="3">
        <v>45760</v>
      </c>
      <c r="B285" s="4" t="s">
        <v>3</v>
      </c>
      <c r="C285" s="4" t="s">
        <v>22</v>
      </c>
      <c r="D285" s="4" t="s">
        <v>23</v>
      </c>
      <c r="E285" s="4">
        <v>10</v>
      </c>
      <c r="F285" s="4">
        <v>23348</v>
      </c>
      <c r="G285" s="4">
        <v>233480</v>
      </c>
      <c r="H285" s="4">
        <v>183756</v>
      </c>
      <c r="I285" s="4"/>
      <c r="J285" s="4"/>
      <c r="K285" s="4"/>
      <c r="L285" s="6">
        <f t="shared" si="4"/>
        <v>1.27059796686911</v>
      </c>
      <c r="M285" s="4"/>
    </row>
    <row r="286" spans="1:13">
      <c r="A286" s="3">
        <v>45817</v>
      </c>
      <c r="B286" s="4" t="s">
        <v>7</v>
      </c>
      <c r="C286" s="4" t="s">
        <v>24</v>
      </c>
      <c r="D286" s="4" t="s">
        <v>32</v>
      </c>
      <c r="E286" s="4">
        <v>9</v>
      </c>
      <c r="F286" s="4">
        <v>20812</v>
      </c>
      <c r="G286" s="4">
        <v>187308</v>
      </c>
      <c r="H286" s="4">
        <v>87397</v>
      </c>
      <c r="I286" s="4"/>
      <c r="J286" s="4"/>
      <c r="K286" s="4"/>
      <c r="L286" s="6">
        <f t="shared" si="4"/>
        <v>2.14318569287275</v>
      </c>
      <c r="M286" s="4"/>
    </row>
    <row r="287" spans="1:13">
      <c r="A287" s="3">
        <v>45755</v>
      </c>
      <c r="B287" s="4" t="s">
        <v>6</v>
      </c>
      <c r="C287" s="4" t="s">
        <v>28</v>
      </c>
      <c r="D287" s="4" t="s">
        <v>30</v>
      </c>
      <c r="E287" s="4">
        <v>1</v>
      </c>
      <c r="F287" s="4">
        <v>42438</v>
      </c>
      <c r="G287" s="4">
        <v>42438</v>
      </c>
      <c r="H287" s="4">
        <v>23204</v>
      </c>
      <c r="I287" s="4"/>
      <c r="J287" s="4"/>
      <c r="K287" s="4"/>
      <c r="L287" s="6">
        <f t="shared" si="4"/>
        <v>1.82890880882606</v>
      </c>
      <c r="M287" s="4"/>
    </row>
    <row r="288" spans="1:13">
      <c r="A288" s="3">
        <v>45664</v>
      </c>
      <c r="B288" s="4" t="s">
        <v>8</v>
      </c>
      <c r="C288" s="4" t="s">
        <v>24</v>
      </c>
      <c r="D288" s="4" t="s">
        <v>27</v>
      </c>
      <c r="E288" s="4">
        <v>9</v>
      </c>
      <c r="F288" s="4">
        <v>39905</v>
      </c>
      <c r="G288" s="4">
        <v>359145</v>
      </c>
      <c r="H288" s="4">
        <v>114216</v>
      </c>
      <c r="I288" s="4"/>
      <c r="J288" s="4"/>
      <c r="K288" s="4"/>
      <c r="L288" s="6">
        <f t="shared" si="4"/>
        <v>3.14443685648245</v>
      </c>
      <c r="M288" s="4"/>
    </row>
    <row r="289" spans="1:13">
      <c r="A289" s="3">
        <v>45745</v>
      </c>
      <c r="B289" s="4" t="s">
        <v>4</v>
      </c>
      <c r="C289" s="4" t="s">
        <v>22</v>
      </c>
      <c r="D289" s="4" t="s">
        <v>33</v>
      </c>
      <c r="E289" s="4">
        <v>1</v>
      </c>
      <c r="F289" s="4">
        <v>27323</v>
      </c>
      <c r="G289" s="4">
        <v>27323</v>
      </c>
      <c r="H289" s="4">
        <v>130453</v>
      </c>
      <c r="I289" s="4"/>
      <c r="J289" s="4"/>
      <c r="K289" s="4"/>
      <c r="L289" s="6">
        <f t="shared" si="4"/>
        <v>0.209447080557749</v>
      </c>
      <c r="M289" s="4"/>
    </row>
    <row r="290" spans="1:13">
      <c r="A290" s="3">
        <v>45804</v>
      </c>
      <c r="B290" s="4" t="s">
        <v>7</v>
      </c>
      <c r="C290" s="4" t="s">
        <v>24</v>
      </c>
      <c r="D290" s="4" t="s">
        <v>31</v>
      </c>
      <c r="E290" s="4">
        <v>9</v>
      </c>
      <c r="F290" s="4">
        <v>31654</v>
      </c>
      <c r="G290" s="4">
        <v>284886</v>
      </c>
      <c r="H290" s="4">
        <v>20916</v>
      </c>
      <c r="I290" s="4"/>
      <c r="J290" s="4"/>
      <c r="K290" s="4"/>
      <c r="L290" s="6">
        <f t="shared" si="4"/>
        <v>13.6204819277108</v>
      </c>
      <c r="M290" s="4"/>
    </row>
    <row r="291" spans="1:13">
      <c r="A291" s="3">
        <v>45755</v>
      </c>
      <c r="B291" s="4" t="s">
        <v>4</v>
      </c>
      <c r="C291" s="4" t="s">
        <v>26</v>
      </c>
      <c r="D291" s="4" t="s">
        <v>23</v>
      </c>
      <c r="E291" s="4">
        <v>6</v>
      </c>
      <c r="F291" s="4">
        <v>47375</v>
      </c>
      <c r="G291" s="4">
        <v>284250</v>
      </c>
      <c r="H291" s="4">
        <v>24480</v>
      </c>
      <c r="I291" s="4"/>
      <c r="J291" s="4"/>
      <c r="K291" s="4"/>
      <c r="L291" s="6">
        <f t="shared" si="4"/>
        <v>11.6115196078431</v>
      </c>
      <c r="M291" s="4"/>
    </row>
    <row r="292" spans="1:13">
      <c r="A292" s="3">
        <v>45753</v>
      </c>
      <c r="B292" s="4" t="s">
        <v>3</v>
      </c>
      <c r="C292" s="4" t="s">
        <v>26</v>
      </c>
      <c r="D292" s="4" t="s">
        <v>23</v>
      </c>
      <c r="E292" s="4">
        <v>4</v>
      </c>
      <c r="F292" s="4">
        <v>18825</v>
      </c>
      <c r="G292" s="4">
        <v>75300</v>
      </c>
      <c r="H292" s="4">
        <v>132942</v>
      </c>
      <c r="I292" s="4"/>
      <c r="J292" s="4"/>
      <c r="K292" s="4"/>
      <c r="L292" s="6">
        <f t="shared" si="4"/>
        <v>0.566412420454033</v>
      </c>
      <c r="M292" s="4"/>
    </row>
    <row r="293" spans="1:13">
      <c r="A293" s="3">
        <v>45729</v>
      </c>
      <c r="B293" s="4" t="s">
        <v>7</v>
      </c>
      <c r="C293" s="4" t="s">
        <v>24</v>
      </c>
      <c r="D293" s="4" t="s">
        <v>27</v>
      </c>
      <c r="E293" s="4">
        <v>5</v>
      </c>
      <c r="F293" s="4">
        <v>32261</v>
      </c>
      <c r="G293" s="4">
        <v>161305</v>
      </c>
      <c r="H293" s="4">
        <v>154051</v>
      </c>
      <c r="I293" s="4"/>
      <c r="J293" s="4"/>
      <c r="K293" s="4"/>
      <c r="L293" s="6">
        <f t="shared" si="4"/>
        <v>1.04708830192599</v>
      </c>
      <c r="M293" s="4"/>
    </row>
    <row r="294" spans="1:13">
      <c r="A294" s="3">
        <v>45691</v>
      </c>
      <c r="B294" s="4" t="s">
        <v>5</v>
      </c>
      <c r="C294" s="4" t="s">
        <v>26</v>
      </c>
      <c r="D294" s="4" t="s">
        <v>31</v>
      </c>
      <c r="E294" s="4">
        <v>8</v>
      </c>
      <c r="F294" s="4">
        <v>41608</v>
      </c>
      <c r="G294" s="4">
        <v>332864</v>
      </c>
      <c r="H294" s="4">
        <v>3837</v>
      </c>
      <c r="I294" s="4"/>
      <c r="J294" s="4"/>
      <c r="K294" s="4"/>
      <c r="L294" s="6">
        <f t="shared" si="4"/>
        <v>86.7511076361741</v>
      </c>
      <c r="M294" s="4"/>
    </row>
    <row r="295" spans="1:13">
      <c r="A295" s="3">
        <v>45711</v>
      </c>
      <c r="B295" s="4" t="s">
        <v>5</v>
      </c>
      <c r="C295" s="4" t="s">
        <v>24</v>
      </c>
      <c r="D295" s="4" t="s">
        <v>30</v>
      </c>
      <c r="E295" s="4">
        <v>3</v>
      </c>
      <c r="F295" s="4">
        <v>28134</v>
      </c>
      <c r="G295" s="4">
        <v>84402</v>
      </c>
      <c r="H295" s="4">
        <v>190370</v>
      </c>
      <c r="I295" s="4"/>
      <c r="J295" s="4"/>
      <c r="K295" s="4"/>
      <c r="L295" s="6">
        <f t="shared" si="4"/>
        <v>0.443357671902085</v>
      </c>
      <c r="M295" s="4"/>
    </row>
    <row r="296" spans="1:13">
      <c r="A296" s="3">
        <v>45732</v>
      </c>
      <c r="B296" s="4" t="s">
        <v>2</v>
      </c>
      <c r="C296" s="4" t="s">
        <v>26</v>
      </c>
      <c r="D296" s="4" t="s">
        <v>32</v>
      </c>
      <c r="E296" s="4">
        <v>7</v>
      </c>
      <c r="F296" s="4">
        <v>23778</v>
      </c>
      <c r="G296" s="4">
        <v>166446</v>
      </c>
      <c r="H296" s="4">
        <v>73475</v>
      </c>
      <c r="I296" s="4"/>
      <c r="J296" s="4"/>
      <c r="K296" s="4"/>
      <c r="L296" s="6">
        <f t="shared" si="4"/>
        <v>2.26534195304525</v>
      </c>
      <c r="M296" s="4"/>
    </row>
    <row r="297" spans="1:13">
      <c r="A297" s="3">
        <v>45831</v>
      </c>
      <c r="B297" s="4" t="s">
        <v>3</v>
      </c>
      <c r="C297" s="4" t="s">
        <v>22</v>
      </c>
      <c r="D297" s="4" t="s">
        <v>25</v>
      </c>
      <c r="E297" s="4">
        <v>4</v>
      </c>
      <c r="F297" s="4">
        <v>12110</v>
      </c>
      <c r="G297" s="4">
        <v>48440</v>
      </c>
      <c r="H297" s="4">
        <v>37918</v>
      </c>
      <c r="I297" s="4"/>
      <c r="J297" s="4"/>
      <c r="K297" s="4"/>
      <c r="L297" s="6">
        <f t="shared" si="4"/>
        <v>1.27749353868875</v>
      </c>
      <c r="M297" s="4"/>
    </row>
    <row r="298" spans="1:13">
      <c r="A298" s="3">
        <v>45704</v>
      </c>
      <c r="B298" s="4" t="s">
        <v>4</v>
      </c>
      <c r="C298" s="4" t="s">
        <v>28</v>
      </c>
      <c r="D298" s="4" t="s">
        <v>23</v>
      </c>
      <c r="E298" s="4">
        <v>5</v>
      </c>
      <c r="F298" s="4">
        <v>33463</v>
      </c>
      <c r="G298" s="4">
        <v>167315</v>
      </c>
      <c r="H298" s="4">
        <v>148645</v>
      </c>
      <c r="I298" s="4"/>
      <c r="J298" s="4"/>
      <c r="K298" s="4"/>
      <c r="L298" s="6">
        <f t="shared" si="4"/>
        <v>1.12560126475832</v>
      </c>
      <c r="M298" s="4"/>
    </row>
    <row r="299" spans="1:13">
      <c r="A299" s="3">
        <v>45676</v>
      </c>
      <c r="B299" s="4" t="s">
        <v>7</v>
      </c>
      <c r="C299" s="4" t="s">
        <v>26</v>
      </c>
      <c r="D299" s="4" t="s">
        <v>33</v>
      </c>
      <c r="E299" s="4">
        <v>10</v>
      </c>
      <c r="F299" s="4">
        <v>42461</v>
      </c>
      <c r="G299" s="4">
        <v>424610</v>
      </c>
      <c r="H299" s="4">
        <v>118709</v>
      </c>
      <c r="I299" s="4"/>
      <c r="J299" s="4"/>
      <c r="K299" s="4"/>
      <c r="L299" s="6">
        <f t="shared" si="4"/>
        <v>3.57689812903824</v>
      </c>
      <c r="M299" s="4"/>
    </row>
    <row r="300" spans="1:13">
      <c r="A300" s="3">
        <v>45826</v>
      </c>
      <c r="B300" s="4" t="s">
        <v>3</v>
      </c>
      <c r="C300" s="4" t="s">
        <v>22</v>
      </c>
      <c r="D300" s="4" t="s">
        <v>23</v>
      </c>
      <c r="E300" s="4">
        <v>7</v>
      </c>
      <c r="F300" s="4">
        <v>30087</v>
      </c>
      <c r="G300" s="4">
        <v>210609</v>
      </c>
      <c r="H300" s="4">
        <v>114911</v>
      </c>
      <c r="I300" s="4"/>
      <c r="J300" s="4"/>
      <c r="K300" s="4"/>
      <c r="L300" s="6">
        <f t="shared" si="4"/>
        <v>1.83280103732454</v>
      </c>
      <c r="M300" s="4"/>
    </row>
    <row r="301" spans="1:13">
      <c r="A301" s="3">
        <v>45834</v>
      </c>
      <c r="B301" s="4" t="s">
        <v>3</v>
      </c>
      <c r="C301" s="4" t="s">
        <v>28</v>
      </c>
      <c r="D301" s="4" t="s">
        <v>30</v>
      </c>
      <c r="E301" s="4">
        <v>1</v>
      </c>
      <c r="F301" s="4">
        <v>40743</v>
      </c>
      <c r="G301" s="4">
        <v>40743</v>
      </c>
      <c r="H301" s="4">
        <v>138274</v>
      </c>
      <c r="I301" s="4"/>
      <c r="J301" s="4"/>
      <c r="K301" s="4"/>
      <c r="L301" s="6">
        <f t="shared" si="4"/>
        <v>0.294654092598753</v>
      </c>
      <c r="M301" s="4"/>
    </row>
    <row r="302" spans="1:13">
      <c r="A302" s="3">
        <v>45755</v>
      </c>
      <c r="B302" s="4" t="s">
        <v>6</v>
      </c>
      <c r="C302" s="4" t="s">
        <v>24</v>
      </c>
      <c r="D302" s="4" t="s">
        <v>33</v>
      </c>
      <c r="E302" s="4">
        <v>3</v>
      </c>
      <c r="F302" s="4">
        <v>20583</v>
      </c>
      <c r="G302" s="4">
        <v>61749</v>
      </c>
      <c r="H302" s="4">
        <v>112320</v>
      </c>
      <c r="I302" s="4"/>
      <c r="J302" s="4"/>
      <c r="K302" s="4"/>
      <c r="L302" s="6">
        <f t="shared" si="4"/>
        <v>0.549759615384615</v>
      </c>
      <c r="M302" s="4"/>
    </row>
    <row r="303" spans="1:13">
      <c r="A303" s="3">
        <v>45730</v>
      </c>
      <c r="B303" s="4" t="s">
        <v>5</v>
      </c>
      <c r="C303" s="4" t="s">
        <v>24</v>
      </c>
      <c r="D303" s="4" t="s">
        <v>32</v>
      </c>
      <c r="E303" s="4">
        <v>1</v>
      </c>
      <c r="F303" s="4">
        <v>9263</v>
      </c>
      <c r="G303" s="4">
        <v>9263</v>
      </c>
      <c r="H303" s="4">
        <v>193201</v>
      </c>
      <c r="I303" s="4"/>
      <c r="J303" s="4"/>
      <c r="K303" s="4"/>
      <c r="L303" s="6">
        <f t="shared" si="4"/>
        <v>0.0479448864136314</v>
      </c>
      <c r="M303" s="4"/>
    </row>
    <row r="304" spans="1:13">
      <c r="A304" s="3">
        <v>45683</v>
      </c>
      <c r="B304" s="4" t="s">
        <v>4</v>
      </c>
      <c r="C304" s="4" t="s">
        <v>28</v>
      </c>
      <c r="D304" s="4" t="s">
        <v>25</v>
      </c>
      <c r="E304" s="4">
        <v>6</v>
      </c>
      <c r="F304" s="4">
        <v>9357</v>
      </c>
      <c r="G304" s="4">
        <v>56142</v>
      </c>
      <c r="H304" s="4">
        <v>32762</v>
      </c>
      <c r="I304" s="4"/>
      <c r="J304" s="4"/>
      <c r="K304" s="4"/>
      <c r="L304" s="6">
        <f t="shared" si="4"/>
        <v>1.71363164641963</v>
      </c>
      <c r="M304" s="4"/>
    </row>
    <row r="305" spans="1:13">
      <c r="A305" s="3">
        <v>45733</v>
      </c>
      <c r="B305" s="4" t="s">
        <v>4</v>
      </c>
      <c r="C305" s="4" t="s">
        <v>26</v>
      </c>
      <c r="D305" s="4" t="s">
        <v>27</v>
      </c>
      <c r="E305" s="4">
        <v>6</v>
      </c>
      <c r="F305" s="4">
        <v>44680</v>
      </c>
      <c r="G305" s="4">
        <v>268080</v>
      </c>
      <c r="H305" s="4">
        <v>140660</v>
      </c>
      <c r="I305" s="4"/>
      <c r="J305" s="4"/>
      <c r="K305" s="4"/>
      <c r="L305" s="6">
        <f t="shared" si="4"/>
        <v>1.90587231622352</v>
      </c>
      <c r="M305" s="4"/>
    </row>
    <row r="306" spans="1:13">
      <c r="A306" s="3">
        <v>45804</v>
      </c>
      <c r="B306" s="4" t="s">
        <v>8</v>
      </c>
      <c r="C306" s="4" t="s">
        <v>26</v>
      </c>
      <c r="D306" s="4" t="s">
        <v>23</v>
      </c>
      <c r="E306" s="4">
        <v>10</v>
      </c>
      <c r="F306" s="4">
        <v>47609</v>
      </c>
      <c r="G306" s="4">
        <v>476090</v>
      </c>
      <c r="H306" s="4">
        <v>154596</v>
      </c>
      <c r="I306" s="4"/>
      <c r="J306" s="4"/>
      <c r="K306" s="4"/>
      <c r="L306" s="6">
        <f t="shared" si="4"/>
        <v>3.07957515071541</v>
      </c>
      <c r="M306" s="4"/>
    </row>
    <row r="307" spans="1:13">
      <c r="A307" s="3">
        <v>45706</v>
      </c>
      <c r="B307" s="4" t="s">
        <v>8</v>
      </c>
      <c r="C307" s="4" t="s">
        <v>28</v>
      </c>
      <c r="D307" s="4" t="s">
        <v>29</v>
      </c>
      <c r="E307" s="4">
        <v>1</v>
      </c>
      <c r="F307" s="4">
        <v>10164</v>
      </c>
      <c r="G307" s="4">
        <v>10164</v>
      </c>
      <c r="H307" s="4">
        <v>117601</v>
      </c>
      <c r="I307" s="4"/>
      <c r="J307" s="4"/>
      <c r="K307" s="4"/>
      <c r="L307" s="6">
        <f t="shared" si="4"/>
        <v>0.086427836497989</v>
      </c>
      <c r="M307" s="4"/>
    </row>
    <row r="308" spans="1:13">
      <c r="A308" s="3">
        <v>45685</v>
      </c>
      <c r="B308" s="4" t="s">
        <v>4</v>
      </c>
      <c r="C308" s="4" t="s">
        <v>28</v>
      </c>
      <c r="D308" s="4" t="s">
        <v>27</v>
      </c>
      <c r="E308" s="4">
        <v>3</v>
      </c>
      <c r="F308" s="4">
        <v>47780</v>
      </c>
      <c r="G308" s="4">
        <v>143340</v>
      </c>
      <c r="H308" s="4">
        <v>140571</v>
      </c>
      <c r="I308" s="4"/>
      <c r="J308" s="4"/>
      <c r="K308" s="4"/>
      <c r="L308" s="6">
        <f t="shared" si="4"/>
        <v>1.01969823078729</v>
      </c>
      <c r="M308" s="4"/>
    </row>
    <row r="309" spans="1:13">
      <c r="A309" s="3">
        <v>45732</v>
      </c>
      <c r="B309" s="4" t="s">
        <v>3</v>
      </c>
      <c r="C309" s="4" t="s">
        <v>28</v>
      </c>
      <c r="D309" s="4" t="s">
        <v>33</v>
      </c>
      <c r="E309" s="4">
        <v>6</v>
      </c>
      <c r="F309" s="4">
        <v>4972</v>
      </c>
      <c r="G309" s="4">
        <v>29832</v>
      </c>
      <c r="H309" s="4">
        <v>75893</v>
      </c>
      <c r="I309" s="4"/>
      <c r="J309" s="4"/>
      <c r="K309" s="4"/>
      <c r="L309" s="6">
        <f t="shared" si="4"/>
        <v>0.393079730673448</v>
      </c>
      <c r="M309" s="4"/>
    </row>
    <row r="310" spans="1:13">
      <c r="A310" s="3">
        <v>45749</v>
      </c>
      <c r="B310" s="4" t="s">
        <v>3</v>
      </c>
      <c r="C310" s="4" t="s">
        <v>22</v>
      </c>
      <c r="D310" s="4" t="s">
        <v>33</v>
      </c>
      <c r="E310" s="4">
        <v>6</v>
      </c>
      <c r="F310" s="4">
        <v>36690</v>
      </c>
      <c r="G310" s="4">
        <v>220140</v>
      </c>
      <c r="H310" s="4">
        <v>89021</v>
      </c>
      <c r="I310" s="4"/>
      <c r="J310" s="4"/>
      <c r="K310" s="4"/>
      <c r="L310" s="6">
        <f t="shared" si="4"/>
        <v>2.47289965289089</v>
      </c>
      <c r="M310" s="4"/>
    </row>
    <row r="311" spans="1:13">
      <c r="A311" s="3">
        <v>45763</v>
      </c>
      <c r="B311" s="4" t="s">
        <v>2</v>
      </c>
      <c r="C311" s="4" t="s">
        <v>24</v>
      </c>
      <c r="D311" s="4" t="s">
        <v>30</v>
      </c>
      <c r="E311" s="4">
        <v>2</v>
      </c>
      <c r="F311" s="4">
        <v>26263</v>
      </c>
      <c r="G311" s="4">
        <v>52526</v>
      </c>
      <c r="H311" s="4">
        <v>195500</v>
      </c>
      <c r="I311" s="4"/>
      <c r="J311" s="4"/>
      <c r="K311" s="4"/>
      <c r="L311" s="6">
        <f t="shared" si="4"/>
        <v>0.268675191815857</v>
      </c>
      <c r="M311" s="4"/>
    </row>
    <row r="312" spans="1:13">
      <c r="A312" s="3">
        <v>45698</v>
      </c>
      <c r="B312" s="4" t="s">
        <v>2</v>
      </c>
      <c r="C312" s="4" t="s">
        <v>28</v>
      </c>
      <c r="D312" s="4" t="s">
        <v>33</v>
      </c>
      <c r="E312" s="4">
        <v>2</v>
      </c>
      <c r="F312" s="4">
        <v>47670</v>
      </c>
      <c r="G312" s="4">
        <v>95340</v>
      </c>
      <c r="H312" s="4">
        <v>113521</v>
      </c>
      <c r="I312" s="4"/>
      <c r="J312" s="4"/>
      <c r="K312" s="4"/>
      <c r="L312" s="6">
        <f t="shared" si="4"/>
        <v>0.839844610248324</v>
      </c>
      <c r="M312" s="4"/>
    </row>
    <row r="313" spans="1:13">
      <c r="A313" s="3">
        <v>45749</v>
      </c>
      <c r="B313" s="4" t="s">
        <v>8</v>
      </c>
      <c r="C313" s="4" t="s">
        <v>26</v>
      </c>
      <c r="D313" s="4" t="s">
        <v>32</v>
      </c>
      <c r="E313" s="4">
        <v>2</v>
      </c>
      <c r="F313" s="4">
        <v>13746</v>
      </c>
      <c r="G313" s="4">
        <v>27492</v>
      </c>
      <c r="H313" s="4">
        <v>81020</v>
      </c>
      <c r="I313" s="4"/>
      <c r="J313" s="4"/>
      <c r="K313" s="4"/>
      <c r="L313" s="6">
        <f t="shared" si="4"/>
        <v>0.339323623796593</v>
      </c>
      <c r="M313" s="4"/>
    </row>
    <row r="314" spans="1:13">
      <c r="A314" s="3">
        <v>45836</v>
      </c>
      <c r="B314" s="4" t="s">
        <v>5</v>
      </c>
      <c r="C314" s="4" t="s">
        <v>22</v>
      </c>
      <c r="D314" s="4" t="s">
        <v>32</v>
      </c>
      <c r="E314" s="4">
        <v>1</v>
      </c>
      <c r="F314" s="4">
        <v>689</v>
      </c>
      <c r="G314" s="4">
        <v>689</v>
      </c>
      <c r="H314" s="4">
        <v>65981</v>
      </c>
      <c r="I314" s="4"/>
      <c r="J314" s="4"/>
      <c r="K314" s="4"/>
      <c r="L314" s="6">
        <f t="shared" si="4"/>
        <v>0.0104424000848729</v>
      </c>
      <c r="M314" s="4"/>
    </row>
    <row r="315" spans="1:13">
      <c r="A315" s="3">
        <v>45757</v>
      </c>
      <c r="B315" s="4" t="s">
        <v>7</v>
      </c>
      <c r="C315" s="4" t="s">
        <v>22</v>
      </c>
      <c r="D315" s="4" t="s">
        <v>30</v>
      </c>
      <c r="E315" s="4">
        <v>5</v>
      </c>
      <c r="F315" s="4">
        <v>29619</v>
      </c>
      <c r="G315" s="4">
        <v>148095</v>
      </c>
      <c r="H315" s="4">
        <v>139849</v>
      </c>
      <c r="I315" s="4"/>
      <c r="J315" s="4"/>
      <c r="K315" s="4"/>
      <c r="L315" s="6">
        <f t="shared" si="4"/>
        <v>1.05896359645046</v>
      </c>
      <c r="M315" s="4"/>
    </row>
    <row r="316" spans="1:13">
      <c r="A316" s="3">
        <v>45658</v>
      </c>
      <c r="B316" s="4" t="s">
        <v>8</v>
      </c>
      <c r="C316" s="4" t="s">
        <v>22</v>
      </c>
      <c r="D316" s="4" t="s">
        <v>30</v>
      </c>
      <c r="E316" s="4">
        <v>8</v>
      </c>
      <c r="F316" s="4">
        <v>1483</v>
      </c>
      <c r="G316" s="4">
        <v>11864</v>
      </c>
      <c r="H316" s="4">
        <v>104140</v>
      </c>
      <c r="I316" s="4"/>
      <c r="J316" s="4"/>
      <c r="K316" s="4"/>
      <c r="L316" s="6">
        <f t="shared" si="4"/>
        <v>0.113923564432495</v>
      </c>
      <c r="M316" s="4"/>
    </row>
    <row r="317" spans="1:13">
      <c r="A317" s="3">
        <v>45680</v>
      </c>
      <c r="B317" s="4" t="s">
        <v>3</v>
      </c>
      <c r="C317" s="4" t="s">
        <v>22</v>
      </c>
      <c r="D317" s="4" t="s">
        <v>23</v>
      </c>
      <c r="E317" s="4">
        <v>10</v>
      </c>
      <c r="F317" s="4">
        <v>37041</v>
      </c>
      <c r="G317" s="4">
        <v>370410</v>
      </c>
      <c r="H317" s="4">
        <v>64414</v>
      </c>
      <c r="I317" s="4"/>
      <c r="J317" s="4"/>
      <c r="K317" s="4"/>
      <c r="L317" s="6">
        <f t="shared" si="4"/>
        <v>5.75045797497438</v>
      </c>
      <c r="M317" s="4"/>
    </row>
    <row r="318" spans="1:13">
      <c r="A318" s="3">
        <v>45680</v>
      </c>
      <c r="B318" s="4" t="s">
        <v>2</v>
      </c>
      <c r="C318" s="4" t="s">
        <v>22</v>
      </c>
      <c r="D318" s="4" t="s">
        <v>33</v>
      </c>
      <c r="E318" s="4">
        <v>7</v>
      </c>
      <c r="F318" s="4">
        <v>30717</v>
      </c>
      <c r="G318" s="4">
        <v>215019</v>
      </c>
      <c r="H318" s="4">
        <v>148650</v>
      </c>
      <c r="I318" s="4"/>
      <c r="J318" s="4"/>
      <c r="K318" s="4"/>
      <c r="L318" s="6">
        <f t="shared" si="4"/>
        <v>1.44647830474268</v>
      </c>
      <c r="M318" s="4"/>
    </row>
    <row r="319" spans="1:13">
      <c r="A319" s="3">
        <v>45749</v>
      </c>
      <c r="B319" s="4" t="s">
        <v>6</v>
      </c>
      <c r="C319" s="4" t="s">
        <v>28</v>
      </c>
      <c r="D319" s="4" t="s">
        <v>31</v>
      </c>
      <c r="E319" s="4">
        <v>6</v>
      </c>
      <c r="F319" s="4">
        <v>42889</v>
      </c>
      <c r="G319" s="4">
        <v>257334</v>
      </c>
      <c r="H319" s="4">
        <v>52150</v>
      </c>
      <c r="I319" s="4"/>
      <c r="J319" s="4"/>
      <c r="K319" s="4"/>
      <c r="L319" s="6">
        <f t="shared" si="4"/>
        <v>4.9344966442953</v>
      </c>
      <c r="M319" s="4"/>
    </row>
    <row r="320" spans="1:13">
      <c r="A320" s="3">
        <v>45746</v>
      </c>
      <c r="B320" s="4" t="s">
        <v>3</v>
      </c>
      <c r="C320" s="4" t="s">
        <v>22</v>
      </c>
      <c r="D320" s="4" t="s">
        <v>27</v>
      </c>
      <c r="E320" s="4">
        <v>8</v>
      </c>
      <c r="F320" s="4">
        <v>5860</v>
      </c>
      <c r="G320" s="4">
        <v>46880</v>
      </c>
      <c r="H320" s="4">
        <v>103897</v>
      </c>
      <c r="I320" s="4"/>
      <c r="J320" s="4"/>
      <c r="K320" s="4"/>
      <c r="L320" s="6">
        <f t="shared" si="4"/>
        <v>0.451216108261066</v>
      </c>
      <c r="M320" s="4"/>
    </row>
    <row r="321" spans="1:13">
      <c r="A321" s="3">
        <v>45691</v>
      </c>
      <c r="B321" s="4" t="s">
        <v>6</v>
      </c>
      <c r="C321" s="4" t="s">
        <v>26</v>
      </c>
      <c r="D321" s="4" t="s">
        <v>27</v>
      </c>
      <c r="E321" s="4">
        <v>10</v>
      </c>
      <c r="F321" s="4">
        <v>28388</v>
      </c>
      <c r="G321" s="4">
        <v>283880</v>
      </c>
      <c r="H321" s="4">
        <v>73339</v>
      </c>
      <c r="I321" s="4"/>
      <c r="J321" s="4"/>
      <c r="K321" s="4"/>
      <c r="L321" s="6">
        <f t="shared" si="4"/>
        <v>3.87079180245163</v>
      </c>
      <c r="M321" s="4"/>
    </row>
    <row r="322" spans="1:13">
      <c r="A322" s="3">
        <v>45781</v>
      </c>
      <c r="B322" s="4" t="s">
        <v>2</v>
      </c>
      <c r="C322" s="4" t="s">
        <v>24</v>
      </c>
      <c r="D322" s="4" t="s">
        <v>25</v>
      </c>
      <c r="E322" s="4">
        <v>3</v>
      </c>
      <c r="F322" s="4">
        <v>10931</v>
      </c>
      <c r="G322" s="4">
        <v>32793</v>
      </c>
      <c r="H322" s="4">
        <v>143068</v>
      </c>
      <c r="I322" s="4"/>
      <c r="J322" s="4"/>
      <c r="K322" s="4"/>
      <c r="L322" s="6">
        <f t="shared" si="4"/>
        <v>0.229212682081248</v>
      </c>
      <c r="M322" s="4"/>
    </row>
    <row r="323" spans="1:13">
      <c r="A323" s="3">
        <v>45813</v>
      </c>
      <c r="B323" s="4" t="s">
        <v>3</v>
      </c>
      <c r="C323" s="4" t="s">
        <v>28</v>
      </c>
      <c r="D323" s="4" t="s">
        <v>27</v>
      </c>
      <c r="E323" s="4">
        <v>3</v>
      </c>
      <c r="F323" s="4">
        <v>21004</v>
      </c>
      <c r="G323" s="4">
        <v>63012</v>
      </c>
      <c r="H323" s="4">
        <v>152251</v>
      </c>
      <c r="I323" s="4"/>
      <c r="J323" s="4"/>
      <c r="K323" s="4"/>
      <c r="L323" s="6">
        <f t="shared" ref="L323:L386" si="5">G323/H323</f>
        <v>0.413869202829538</v>
      </c>
      <c r="M323" s="4"/>
    </row>
    <row r="324" spans="1:13">
      <c r="A324" s="3">
        <v>45811</v>
      </c>
      <c r="B324" s="4" t="s">
        <v>4</v>
      </c>
      <c r="C324" s="4" t="s">
        <v>28</v>
      </c>
      <c r="D324" s="4" t="s">
        <v>29</v>
      </c>
      <c r="E324" s="4">
        <v>2</v>
      </c>
      <c r="F324" s="4">
        <v>5295</v>
      </c>
      <c r="G324" s="4">
        <v>10590</v>
      </c>
      <c r="H324" s="4">
        <v>37354</v>
      </c>
      <c r="I324" s="4"/>
      <c r="J324" s="4"/>
      <c r="K324" s="4"/>
      <c r="L324" s="6">
        <f t="shared" si="5"/>
        <v>0.28350377469615</v>
      </c>
      <c r="M324" s="4"/>
    </row>
    <row r="325" spans="1:13">
      <c r="A325" s="3">
        <v>45827</v>
      </c>
      <c r="B325" s="4" t="s">
        <v>7</v>
      </c>
      <c r="C325" s="4" t="s">
        <v>28</v>
      </c>
      <c r="D325" s="4" t="s">
        <v>32</v>
      </c>
      <c r="E325" s="4">
        <v>3</v>
      </c>
      <c r="F325" s="4">
        <v>11138</v>
      </c>
      <c r="G325" s="4">
        <v>33414</v>
      </c>
      <c r="H325" s="4">
        <v>27294</v>
      </c>
      <c r="I325" s="4"/>
      <c r="J325" s="4"/>
      <c r="K325" s="4"/>
      <c r="L325" s="6">
        <f t="shared" si="5"/>
        <v>1.22422510441855</v>
      </c>
      <c r="M325" s="4"/>
    </row>
    <row r="326" spans="1:13">
      <c r="A326" s="3">
        <v>45772</v>
      </c>
      <c r="B326" s="4" t="s">
        <v>8</v>
      </c>
      <c r="C326" s="4" t="s">
        <v>24</v>
      </c>
      <c r="D326" s="4" t="s">
        <v>31</v>
      </c>
      <c r="E326" s="4">
        <v>1</v>
      </c>
      <c r="F326" s="4">
        <v>32476</v>
      </c>
      <c r="G326" s="4">
        <v>32476</v>
      </c>
      <c r="H326" s="4">
        <v>77747</v>
      </c>
      <c r="I326" s="4"/>
      <c r="J326" s="4"/>
      <c r="K326" s="4"/>
      <c r="L326" s="6">
        <f t="shared" si="5"/>
        <v>0.417713866772994</v>
      </c>
      <c r="M326" s="4"/>
    </row>
    <row r="327" spans="1:13">
      <c r="A327" s="3">
        <v>45818</v>
      </c>
      <c r="B327" s="4" t="s">
        <v>3</v>
      </c>
      <c r="C327" s="4" t="s">
        <v>28</v>
      </c>
      <c r="D327" s="4" t="s">
        <v>27</v>
      </c>
      <c r="E327" s="4">
        <v>5</v>
      </c>
      <c r="F327" s="4">
        <v>11362</v>
      </c>
      <c r="G327" s="4">
        <v>56810</v>
      </c>
      <c r="H327" s="4">
        <v>78388</v>
      </c>
      <c r="I327" s="4"/>
      <c r="J327" s="4"/>
      <c r="K327" s="4"/>
      <c r="L327" s="6">
        <f t="shared" si="5"/>
        <v>0.724728274735929</v>
      </c>
      <c r="M327" s="4"/>
    </row>
    <row r="328" spans="1:13">
      <c r="A328" s="3">
        <v>45763</v>
      </c>
      <c r="B328" s="4" t="s">
        <v>7</v>
      </c>
      <c r="C328" s="4" t="s">
        <v>22</v>
      </c>
      <c r="D328" s="4" t="s">
        <v>27</v>
      </c>
      <c r="E328" s="4">
        <v>6</v>
      </c>
      <c r="F328" s="4">
        <v>12951</v>
      </c>
      <c r="G328" s="4">
        <v>77706</v>
      </c>
      <c r="H328" s="4">
        <v>136548</v>
      </c>
      <c r="I328" s="4"/>
      <c r="J328" s="4"/>
      <c r="K328" s="4"/>
      <c r="L328" s="6">
        <f t="shared" si="5"/>
        <v>0.569074611125758</v>
      </c>
      <c r="M328" s="4"/>
    </row>
    <row r="329" spans="1:13">
      <c r="A329" s="3">
        <v>45814</v>
      </c>
      <c r="B329" s="4" t="s">
        <v>5</v>
      </c>
      <c r="C329" s="4" t="s">
        <v>28</v>
      </c>
      <c r="D329" s="4" t="s">
        <v>27</v>
      </c>
      <c r="E329" s="4">
        <v>2</v>
      </c>
      <c r="F329" s="4">
        <v>19499</v>
      </c>
      <c r="G329" s="4">
        <v>38998</v>
      </c>
      <c r="H329" s="4">
        <v>88905</v>
      </c>
      <c r="I329" s="4"/>
      <c r="J329" s="4"/>
      <c r="K329" s="4"/>
      <c r="L329" s="6">
        <f t="shared" si="5"/>
        <v>0.438647995050897</v>
      </c>
      <c r="M329" s="4"/>
    </row>
    <row r="330" spans="1:13">
      <c r="A330" s="3">
        <v>45666</v>
      </c>
      <c r="B330" s="4" t="s">
        <v>3</v>
      </c>
      <c r="C330" s="4" t="s">
        <v>28</v>
      </c>
      <c r="D330" s="4" t="s">
        <v>33</v>
      </c>
      <c r="E330" s="4">
        <v>2</v>
      </c>
      <c r="F330" s="4">
        <v>28392</v>
      </c>
      <c r="G330" s="4">
        <v>56784</v>
      </c>
      <c r="H330" s="4">
        <v>161067</v>
      </c>
      <c r="I330" s="4"/>
      <c r="J330" s="4"/>
      <c r="K330" s="4"/>
      <c r="L330" s="6">
        <f t="shared" si="5"/>
        <v>0.352548939261301</v>
      </c>
      <c r="M330" s="4"/>
    </row>
    <row r="331" spans="1:13">
      <c r="A331" s="3">
        <v>45658</v>
      </c>
      <c r="B331" s="4" t="s">
        <v>6</v>
      </c>
      <c r="C331" s="4" t="s">
        <v>24</v>
      </c>
      <c r="D331" s="4" t="s">
        <v>31</v>
      </c>
      <c r="E331" s="4">
        <v>10</v>
      </c>
      <c r="F331" s="4">
        <v>26039</v>
      </c>
      <c r="G331" s="4">
        <v>260390</v>
      </c>
      <c r="H331" s="4">
        <v>198857</v>
      </c>
      <c r="I331" s="4"/>
      <c r="J331" s="4"/>
      <c r="K331" s="4"/>
      <c r="L331" s="6">
        <f t="shared" si="5"/>
        <v>1.30943341194929</v>
      </c>
      <c r="M331" s="4"/>
    </row>
    <row r="332" spans="1:13">
      <c r="A332" s="3">
        <v>45701</v>
      </c>
      <c r="B332" s="4" t="s">
        <v>5</v>
      </c>
      <c r="C332" s="4" t="s">
        <v>24</v>
      </c>
      <c r="D332" s="4" t="s">
        <v>32</v>
      </c>
      <c r="E332" s="4">
        <v>1</v>
      </c>
      <c r="F332" s="4">
        <v>20087</v>
      </c>
      <c r="G332" s="4">
        <v>20087</v>
      </c>
      <c r="H332" s="4">
        <v>31924</v>
      </c>
      <c r="I332" s="4"/>
      <c r="J332" s="4"/>
      <c r="K332" s="4"/>
      <c r="L332" s="6">
        <f t="shared" si="5"/>
        <v>0.629213131186568</v>
      </c>
      <c r="M332" s="4"/>
    </row>
    <row r="333" spans="1:13">
      <c r="A333" s="3">
        <v>45665</v>
      </c>
      <c r="B333" s="4" t="s">
        <v>5</v>
      </c>
      <c r="C333" s="4" t="s">
        <v>28</v>
      </c>
      <c r="D333" s="4" t="s">
        <v>33</v>
      </c>
      <c r="E333" s="4">
        <v>2</v>
      </c>
      <c r="F333" s="4">
        <v>722</v>
      </c>
      <c r="G333" s="4">
        <v>1444</v>
      </c>
      <c r="H333" s="4">
        <v>113339</v>
      </c>
      <c r="I333" s="4"/>
      <c r="J333" s="4"/>
      <c r="K333" s="4"/>
      <c r="L333" s="6">
        <f t="shared" si="5"/>
        <v>0.0127405394436161</v>
      </c>
      <c r="M333" s="4"/>
    </row>
    <row r="334" spans="1:13">
      <c r="A334" s="3">
        <v>45800</v>
      </c>
      <c r="B334" s="4" t="s">
        <v>4</v>
      </c>
      <c r="C334" s="4" t="s">
        <v>22</v>
      </c>
      <c r="D334" s="4" t="s">
        <v>29</v>
      </c>
      <c r="E334" s="4">
        <v>6</v>
      </c>
      <c r="F334" s="4">
        <v>35600</v>
      </c>
      <c r="G334" s="4">
        <v>213600</v>
      </c>
      <c r="H334" s="4">
        <v>23620</v>
      </c>
      <c r="I334" s="4"/>
      <c r="J334" s="4"/>
      <c r="K334" s="4"/>
      <c r="L334" s="6">
        <f t="shared" si="5"/>
        <v>9.04318374259102</v>
      </c>
      <c r="M334" s="4"/>
    </row>
    <row r="335" spans="1:13">
      <c r="A335" s="3">
        <v>45663</v>
      </c>
      <c r="B335" s="4" t="s">
        <v>4</v>
      </c>
      <c r="C335" s="4" t="s">
        <v>24</v>
      </c>
      <c r="D335" s="4" t="s">
        <v>33</v>
      </c>
      <c r="E335" s="4">
        <v>5</v>
      </c>
      <c r="F335" s="4">
        <v>47016</v>
      </c>
      <c r="G335" s="4">
        <v>235080</v>
      </c>
      <c r="H335" s="4">
        <v>103584</v>
      </c>
      <c r="I335" s="4"/>
      <c r="J335" s="4"/>
      <c r="K335" s="4"/>
      <c r="L335" s="6">
        <f t="shared" si="5"/>
        <v>2.2694624652456</v>
      </c>
      <c r="M335" s="4"/>
    </row>
    <row r="336" spans="1:13">
      <c r="A336" s="3">
        <v>45765</v>
      </c>
      <c r="B336" s="4" t="s">
        <v>3</v>
      </c>
      <c r="C336" s="4" t="s">
        <v>26</v>
      </c>
      <c r="D336" s="4" t="s">
        <v>29</v>
      </c>
      <c r="E336" s="4">
        <v>6</v>
      </c>
      <c r="F336" s="4">
        <v>24718</v>
      </c>
      <c r="G336" s="4">
        <v>148308</v>
      </c>
      <c r="H336" s="4">
        <v>172199</v>
      </c>
      <c r="I336" s="4"/>
      <c r="J336" s="4"/>
      <c r="K336" s="4"/>
      <c r="L336" s="6">
        <f t="shared" si="5"/>
        <v>0.861259356906835</v>
      </c>
      <c r="M336" s="4"/>
    </row>
    <row r="337" spans="1:13">
      <c r="A337" s="3">
        <v>45753</v>
      </c>
      <c r="B337" s="4" t="s">
        <v>2</v>
      </c>
      <c r="C337" s="4" t="s">
        <v>28</v>
      </c>
      <c r="D337" s="4" t="s">
        <v>23</v>
      </c>
      <c r="E337" s="4">
        <v>1</v>
      </c>
      <c r="F337" s="4">
        <v>34850</v>
      </c>
      <c r="G337" s="4">
        <v>34850</v>
      </c>
      <c r="H337" s="4">
        <v>117755</v>
      </c>
      <c r="I337" s="4"/>
      <c r="J337" s="4"/>
      <c r="K337" s="4"/>
      <c r="L337" s="6">
        <f t="shared" si="5"/>
        <v>0.295953462697975</v>
      </c>
      <c r="M337" s="4"/>
    </row>
    <row r="338" spans="1:13">
      <c r="A338" s="3">
        <v>45662</v>
      </c>
      <c r="B338" s="4" t="s">
        <v>7</v>
      </c>
      <c r="C338" s="4" t="s">
        <v>24</v>
      </c>
      <c r="D338" s="4" t="s">
        <v>29</v>
      </c>
      <c r="E338" s="4">
        <v>2</v>
      </c>
      <c r="F338" s="4">
        <v>37986</v>
      </c>
      <c r="G338" s="4">
        <v>75972</v>
      </c>
      <c r="H338" s="4">
        <v>63094</v>
      </c>
      <c r="I338" s="4"/>
      <c r="J338" s="4"/>
      <c r="K338" s="4"/>
      <c r="L338" s="6">
        <f t="shared" si="5"/>
        <v>1.20410815608457</v>
      </c>
      <c r="M338" s="4"/>
    </row>
    <row r="339" spans="1:13">
      <c r="A339" s="3">
        <v>45723</v>
      </c>
      <c r="B339" s="4" t="s">
        <v>2</v>
      </c>
      <c r="C339" s="4" t="s">
        <v>26</v>
      </c>
      <c r="D339" s="4" t="s">
        <v>30</v>
      </c>
      <c r="E339" s="4">
        <v>10</v>
      </c>
      <c r="F339" s="4">
        <v>47122</v>
      </c>
      <c r="G339" s="4">
        <v>471220</v>
      </c>
      <c r="H339" s="4">
        <v>193076</v>
      </c>
      <c r="I339" s="4"/>
      <c r="J339" s="4"/>
      <c r="K339" s="4"/>
      <c r="L339" s="6">
        <f t="shared" si="5"/>
        <v>2.44059334148211</v>
      </c>
      <c r="M339" s="4"/>
    </row>
    <row r="340" spans="1:13">
      <c r="A340" s="3">
        <v>45722</v>
      </c>
      <c r="B340" s="4" t="s">
        <v>7</v>
      </c>
      <c r="C340" s="4" t="s">
        <v>28</v>
      </c>
      <c r="D340" s="4" t="s">
        <v>33</v>
      </c>
      <c r="E340" s="4">
        <v>8</v>
      </c>
      <c r="F340" s="4">
        <v>43904</v>
      </c>
      <c r="G340" s="4">
        <v>351232</v>
      </c>
      <c r="H340" s="4">
        <v>193690</v>
      </c>
      <c r="I340" s="4"/>
      <c r="J340" s="4"/>
      <c r="K340" s="4"/>
      <c r="L340" s="6">
        <f t="shared" si="5"/>
        <v>1.81337188290567</v>
      </c>
      <c r="M340" s="4"/>
    </row>
    <row r="341" spans="1:13">
      <c r="A341" s="3">
        <v>45738</v>
      </c>
      <c r="B341" s="4" t="s">
        <v>3</v>
      </c>
      <c r="C341" s="4" t="s">
        <v>28</v>
      </c>
      <c r="D341" s="4" t="s">
        <v>30</v>
      </c>
      <c r="E341" s="4">
        <v>2</v>
      </c>
      <c r="F341" s="4">
        <v>36970</v>
      </c>
      <c r="G341" s="4">
        <v>73940</v>
      </c>
      <c r="H341" s="4">
        <v>130417</v>
      </c>
      <c r="I341" s="4"/>
      <c r="J341" s="4"/>
      <c r="K341" s="4"/>
      <c r="L341" s="6">
        <f t="shared" si="5"/>
        <v>0.56695062760223</v>
      </c>
      <c r="M341" s="4"/>
    </row>
    <row r="342" spans="1:13">
      <c r="A342" s="3">
        <v>45726</v>
      </c>
      <c r="B342" s="4" t="s">
        <v>8</v>
      </c>
      <c r="C342" s="4" t="s">
        <v>24</v>
      </c>
      <c r="D342" s="4" t="s">
        <v>27</v>
      </c>
      <c r="E342" s="4">
        <v>10</v>
      </c>
      <c r="F342" s="4">
        <v>3278</v>
      </c>
      <c r="G342" s="4">
        <v>32780</v>
      </c>
      <c r="H342" s="4">
        <v>13869</v>
      </c>
      <c r="I342" s="4"/>
      <c r="J342" s="4"/>
      <c r="K342" s="4"/>
      <c r="L342" s="6">
        <f t="shared" si="5"/>
        <v>2.36354459586127</v>
      </c>
      <c r="M342" s="4"/>
    </row>
    <row r="343" spans="1:13">
      <c r="A343" s="3">
        <v>45752</v>
      </c>
      <c r="B343" s="4" t="s">
        <v>4</v>
      </c>
      <c r="C343" s="4" t="s">
        <v>22</v>
      </c>
      <c r="D343" s="4" t="s">
        <v>32</v>
      </c>
      <c r="E343" s="4">
        <v>8</v>
      </c>
      <c r="F343" s="4">
        <v>28971</v>
      </c>
      <c r="G343" s="4">
        <v>231768</v>
      </c>
      <c r="H343" s="4">
        <v>105027</v>
      </c>
      <c r="I343" s="4"/>
      <c r="J343" s="4"/>
      <c r="K343" s="4"/>
      <c r="L343" s="6">
        <f t="shared" si="5"/>
        <v>2.20674683652775</v>
      </c>
      <c r="M343" s="4"/>
    </row>
    <row r="344" spans="1:13">
      <c r="A344" s="3">
        <v>45836</v>
      </c>
      <c r="B344" s="4" t="s">
        <v>7</v>
      </c>
      <c r="C344" s="4" t="s">
        <v>26</v>
      </c>
      <c r="D344" s="4" t="s">
        <v>23</v>
      </c>
      <c r="E344" s="4">
        <v>6</v>
      </c>
      <c r="F344" s="4">
        <v>18974</v>
      </c>
      <c r="G344" s="4">
        <v>113844</v>
      </c>
      <c r="H344" s="4">
        <v>2267</v>
      </c>
      <c r="I344" s="4"/>
      <c r="J344" s="4"/>
      <c r="K344" s="4"/>
      <c r="L344" s="6">
        <f t="shared" si="5"/>
        <v>50.2179091310101</v>
      </c>
      <c r="M344" s="4"/>
    </row>
    <row r="345" spans="1:13">
      <c r="A345" s="3">
        <v>45720</v>
      </c>
      <c r="B345" s="4" t="s">
        <v>3</v>
      </c>
      <c r="C345" s="4" t="s">
        <v>28</v>
      </c>
      <c r="D345" s="4" t="s">
        <v>33</v>
      </c>
      <c r="E345" s="4">
        <v>4</v>
      </c>
      <c r="F345" s="4">
        <v>10509</v>
      </c>
      <c r="G345" s="4">
        <v>42036</v>
      </c>
      <c r="H345" s="4">
        <v>20772</v>
      </c>
      <c r="I345" s="4"/>
      <c r="J345" s="4"/>
      <c r="K345" s="4"/>
      <c r="L345" s="6">
        <f t="shared" si="5"/>
        <v>2.02368573079145</v>
      </c>
      <c r="M345" s="4"/>
    </row>
    <row r="346" spans="1:13">
      <c r="A346" s="3">
        <v>45821</v>
      </c>
      <c r="B346" s="4" t="s">
        <v>2</v>
      </c>
      <c r="C346" s="4" t="s">
        <v>24</v>
      </c>
      <c r="D346" s="4" t="s">
        <v>23</v>
      </c>
      <c r="E346" s="4">
        <v>8</v>
      </c>
      <c r="F346" s="4">
        <v>3860</v>
      </c>
      <c r="G346" s="4">
        <v>30880</v>
      </c>
      <c r="H346" s="4">
        <v>113473</v>
      </c>
      <c r="I346" s="4"/>
      <c r="J346" s="4"/>
      <c r="K346" s="4"/>
      <c r="L346" s="6">
        <f t="shared" si="5"/>
        <v>0.272135221594564</v>
      </c>
      <c r="M346" s="4"/>
    </row>
    <row r="347" spans="1:13">
      <c r="A347" s="3">
        <v>45791</v>
      </c>
      <c r="B347" s="4" t="s">
        <v>8</v>
      </c>
      <c r="C347" s="4" t="s">
        <v>22</v>
      </c>
      <c r="D347" s="4" t="s">
        <v>30</v>
      </c>
      <c r="E347" s="4">
        <v>5</v>
      </c>
      <c r="F347" s="4">
        <v>5258</v>
      </c>
      <c r="G347" s="4">
        <v>26290</v>
      </c>
      <c r="H347" s="4">
        <v>46823</v>
      </c>
      <c r="I347" s="4"/>
      <c r="J347" s="4"/>
      <c r="K347" s="4"/>
      <c r="L347" s="6">
        <f t="shared" si="5"/>
        <v>0.561476197595199</v>
      </c>
      <c r="M347" s="4"/>
    </row>
    <row r="348" spans="1:13">
      <c r="A348" s="3">
        <v>45751</v>
      </c>
      <c r="B348" s="4" t="s">
        <v>4</v>
      </c>
      <c r="C348" s="4" t="s">
        <v>28</v>
      </c>
      <c r="D348" s="4" t="s">
        <v>31</v>
      </c>
      <c r="E348" s="4">
        <v>10</v>
      </c>
      <c r="F348" s="4">
        <v>27460</v>
      </c>
      <c r="G348" s="4">
        <v>274600</v>
      </c>
      <c r="H348" s="4">
        <v>177840</v>
      </c>
      <c r="I348" s="4"/>
      <c r="J348" s="4"/>
      <c r="K348" s="4"/>
      <c r="L348" s="6">
        <f t="shared" si="5"/>
        <v>1.54408457040036</v>
      </c>
      <c r="M348" s="4"/>
    </row>
    <row r="349" spans="1:13">
      <c r="A349" s="3">
        <v>45787</v>
      </c>
      <c r="B349" s="4" t="s">
        <v>5</v>
      </c>
      <c r="C349" s="4" t="s">
        <v>28</v>
      </c>
      <c r="D349" s="4" t="s">
        <v>23</v>
      </c>
      <c r="E349" s="4">
        <v>8</v>
      </c>
      <c r="F349" s="4">
        <v>25936</v>
      </c>
      <c r="G349" s="4">
        <v>207488</v>
      </c>
      <c r="H349" s="4">
        <v>157648</v>
      </c>
      <c r="I349" s="4"/>
      <c r="J349" s="4"/>
      <c r="K349" s="4"/>
      <c r="L349" s="6">
        <f t="shared" si="5"/>
        <v>1.31614736628438</v>
      </c>
      <c r="M349" s="4"/>
    </row>
    <row r="350" spans="1:13">
      <c r="A350" s="3">
        <v>45756</v>
      </c>
      <c r="B350" s="4" t="s">
        <v>3</v>
      </c>
      <c r="C350" s="4" t="s">
        <v>22</v>
      </c>
      <c r="D350" s="4" t="s">
        <v>32</v>
      </c>
      <c r="E350" s="4">
        <v>4</v>
      </c>
      <c r="F350" s="4">
        <v>3911</v>
      </c>
      <c r="G350" s="4">
        <v>15644</v>
      </c>
      <c r="H350" s="4">
        <v>139450</v>
      </c>
      <c r="I350" s="4"/>
      <c r="J350" s="4"/>
      <c r="K350" s="4"/>
      <c r="L350" s="6">
        <f t="shared" si="5"/>
        <v>0.112183578343492</v>
      </c>
      <c r="M350" s="4"/>
    </row>
    <row r="351" spans="1:13">
      <c r="A351" s="3">
        <v>45700</v>
      </c>
      <c r="B351" s="4" t="s">
        <v>7</v>
      </c>
      <c r="C351" s="4" t="s">
        <v>24</v>
      </c>
      <c r="D351" s="4" t="s">
        <v>27</v>
      </c>
      <c r="E351" s="4">
        <v>2</v>
      </c>
      <c r="F351" s="4">
        <v>9950</v>
      </c>
      <c r="G351" s="4">
        <v>19900</v>
      </c>
      <c r="H351" s="4">
        <v>28160</v>
      </c>
      <c r="I351" s="4"/>
      <c r="J351" s="4"/>
      <c r="K351" s="4"/>
      <c r="L351" s="6">
        <f t="shared" si="5"/>
        <v>0.706676136363636</v>
      </c>
      <c r="M351" s="4"/>
    </row>
    <row r="352" spans="1:13">
      <c r="A352" s="3">
        <v>45805</v>
      </c>
      <c r="B352" s="4" t="s">
        <v>2</v>
      </c>
      <c r="C352" s="4" t="s">
        <v>24</v>
      </c>
      <c r="D352" s="4" t="s">
        <v>23</v>
      </c>
      <c r="E352" s="4">
        <v>5</v>
      </c>
      <c r="F352" s="4">
        <v>8664</v>
      </c>
      <c r="G352" s="4">
        <v>43320</v>
      </c>
      <c r="H352" s="4">
        <v>35162</v>
      </c>
      <c r="I352" s="4"/>
      <c r="J352" s="4"/>
      <c r="K352" s="4"/>
      <c r="L352" s="6">
        <f t="shared" si="5"/>
        <v>1.23201183095387</v>
      </c>
      <c r="M352" s="4"/>
    </row>
    <row r="353" spans="1:13">
      <c r="A353" s="3">
        <v>45791</v>
      </c>
      <c r="B353" s="4" t="s">
        <v>3</v>
      </c>
      <c r="C353" s="4" t="s">
        <v>28</v>
      </c>
      <c r="D353" s="4" t="s">
        <v>27</v>
      </c>
      <c r="E353" s="4">
        <v>6</v>
      </c>
      <c r="F353" s="4">
        <v>12478</v>
      </c>
      <c r="G353" s="4">
        <v>74868</v>
      </c>
      <c r="H353" s="4">
        <v>46438</v>
      </c>
      <c r="I353" s="4"/>
      <c r="J353" s="4"/>
      <c r="K353" s="4"/>
      <c r="L353" s="6">
        <f t="shared" si="5"/>
        <v>1.61221413497567</v>
      </c>
      <c r="M353" s="4"/>
    </row>
    <row r="354" spans="1:13">
      <c r="A354" s="3">
        <v>45659</v>
      </c>
      <c r="B354" s="4" t="s">
        <v>2</v>
      </c>
      <c r="C354" s="4" t="s">
        <v>28</v>
      </c>
      <c r="D354" s="4" t="s">
        <v>29</v>
      </c>
      <c r="E354" s="4">
        <v>3</v>
      </c>
      <c r="F354" s="4">
        <v>11546</v>
      </c>
      <c r="G354" s="4">
        <v>34638</v>
      </c>
      <c r="H354" s="4">
        <v>147798</v>
      </c>
      <c r="I354" s="4"/>
      <c r="J354" s="4"/>
      <c r="K354" s="4"/>
      <c r="L354" s="6">
        <f t="shared" si="5"/>
        <v>0.234360410830999</v>
      </c>
      <c r="M354" s="4"/>
    </row>
    <row r="355" spans="1:13">
      <c r="A355" s="3">
        <v>45673</v>
      </c>
      <c r="B355" s="4" t="s">
        <v>5</v>
      </c>
      <c r="C355" s="4" t="s">
        <v>24</v>
      </c>
      <c r="D355" s="4" t="s">
        <v>25</v>
      </c>
      <c r="E355" s="4">
        <v>8</v>
      </c>
      <c r="F355" s="4">
        <v>32853</v>
      </c>
      <c r="G355" s="4">
        <v>262824</v>
      </c>
      <c r="H355" s="4">
        <v>86229</v>
      </c>
      <c r="I355" s="4"/>
      <c r="J355" s="4"/>
      <c r="K355" s="4"/>
      <c r="L355" s="6">
        <f t="shared" si="5"/>
        <v>3.04797689872317</v>
      </c>
      <c r="M355" s="4"/>
    </row>
    <row r="356" spans="1:13">
      <c r="A356" s="3">
        <v>45707</v>
      </c>
      <c r="B356" s="4" t="s">
        <v>2</v>
      </c>
      <c r="C356" s="4" t="s">
        <v>22</v>
      </c>
      <c r="D356" s="4" t="s">
        <v>30</v>
      </c>
      <c r="E356" s="4">
        <v>2</v>
      </c>
      <c r="F356" s="4">
        <v>21135</v>
      </c>
      <c r="G356" s="4">
        <v>42270</v>
      </c>
      <c r="H356" s="4">
        <v>47232</v>
      </c>
      <c r="I356" s="4"/>
      <c r="J356" s="4"/>
      <c r="K356" s="4"/>
      <c r="L356" s="6">
        <f t="shared" si="5"/>
        <v>0.894944105691057</v>
      </c>
      <c r="M356" s="4"/>
    </row>
    <row r="357" spans="1:13">
      <c r="A357" s="3">
        <v>45811</v>
      </c>
      <c r="B357" s="4" t="s">
        <v>6</v>
      </c>
      <c r="C357" s="4" t="s">
        <v>26</v>
      </c>
      <c r="D357" s="4" t="s">
        <v>31</v>
      </c>
      <c r="E357" s="4">
        <v>7</v>
      </c>
      <c r="F357" s="4">
        <v>32012</v>
      </c>
      <c r="G357" s="4">
        <v>224084</v>
      </c>
      <c r="H357" s="4">
        <v>126099</v>
      </c>
      <c r="I357" s="4"/>
      <c r="J357" s="4"/>
      <c r="K357" s="4"/>
      <c r="L357" s="6">
        <f t="shared" si="5"/>
        <v>1.77704819229336</v>
      </c>
      <c r="M357" s="4"/>
    </row>
    <row r="358" spans="1:13">
      <c r="A358" s="3">
        <v>45713</v>
      </c>
      <c r="B358" s="4" t="s">
        <v>4</v>
      </c>
      <c r="C358" s="4" t="s">
        <v>22</v>
      </c>
      <c r="D358" s="4" t="s">
        <v>32</v>
      </c>
      <c r="E358" s="4">
        <v>8</v>
      </c>
      <c r="F358" s="4">
        <v>2051</v>
      </c>
      <c r="G358" s="4">
        <v>16408</v>
      </c>
      <c r="H358" s="4">
        <v>69774</v>
      </c>
      <c r="I358" s="4"/>
      <c r="J358" s="4"/>
      <c r="K358" s="4"/>
      <c r="L358" s="6">
        <f t="shared" si="5"/>
        <v>0.235159228365867</v>
      </c>
      <c r="M358" s="4"/>
    </row>
    <row r="359" spans="1:13">
      <c r="A359" s="3">
        <v>45759</v>
      </c>
      <c r="B359" s="4" t="s">
        <v>2</v>
      </c>
      <c r="C359" s="4" t="s">
        <v>28</v>
      </c>
      <c r="D359" s="4" t="s">
        <v>25</v>
      </c>
      <c r="E359" s="4">
        <v>1</v>
      </c>
      <c r="F359" s="4">
        <v>30741</v>
      </c>
      <c r="G359" s="4">
        <v>30741</v>
      </c>
      <c r="H359" s="4">
        <v>57607</v>
      </c>
      <c r="I359" s="4"/>
      <c r="J359" s="4"/>
      <c r="K359" s="4"/>
      <c r="L359" s="6">
        <f t="shared" si="5"/>
        <v>0.533633065426077</v>
      </c>
      <c r="M359" s="4"/>
    </row>
    <row r="360" spans="1:13">
      <c r="A360" s="3">
        <v>45697</v>
      </c>
      <c r="B360" s="4" t="s">
        <v>2</v>
      </c>
      <c r="C360" s="4" t="s">
        <v>22</v>
      </c>
      <c r="D360" s="4" t="s">
        <v>33</v>
      </c>
      <c r="E360" s="4">
        <v>1</v>
      </c>
      <c r="F360" s="4">
        <v>33587</v>
      </c>
      <c r="G360" s="4">
        <v>33587</v>
      </c>
      <c r="H360" s="4">
        <v>143993</v>
      </c>
      <c r="I360" s="4"/>
      <c r="J360" s="4"/>
      <c r="K360" s="4"/>
      <c r="L360" s="6">
        <f t="shared" si="5"/>
        <v>0.233254394310835</v>
      </c>
      <c r="M360" s="4"/>
    </row>
    <row r="361" spans="1:13">
      <c r="A361" s="3">
        <v>45753</v>
      </c>
      <c r="B361" s="4" t="s">
        <v>3</v>
      </c>
      <c r="C361" s="4" t="s">
        <v>28</v>
      </c>
      <c r="D361" s="4" t="s">
        <v>33</v>
      </c>
      <c r="E361" s="4">
        <v>2</v>
      </c>
      <c r="F361" s="4">
        <v>28147</v>
      </c>
      <c r="G361" s="4">
        <v>56294</v>
      </c>
      <c r="H361" s="4">
        <v>127105</v>
      </c>
      <c r="I361" s="4"/>
      <c r="J361" s="4"/>
      <c r="K361" s="4"/>
      <c r="L361" s="6">
        <f t="shared" si="5"/>
        <v>0.44289367058731</v>
      </c>
      <c r="M361" s="4"/>
    </row>
    <row r="362" spans="1:13">
      <c r="A362" s="3">
        <v>45820</v>
      </c>
      <c r="B362" s="4" t="s">
        <v>6</v>
      </c>
      <c r="C362" s="4" t="s">
        <v>28</v>
      </c>
      <c r="D362" s="4" t="s">
        <v>29</v>
      </c>
      <c r="E362" s="4">
        <v>3</v>
      </c>
      <c r="F362" s="4">
        <v>49359</v>
      </c>
      <c r="G362" s="4">
        <v>148077</v>
      </c>
      <c r="H362" s="4">
        <v>99848</v>
      </c>
      <c r="I362" s="4"/>
      <c r="J362" s="4"/>
      <c r="K362" s="4"/>
      <c r="L362" s="6">
        <f t="shared" si="5"/>
        <v>1.4830241967791</v>
      </c>
      <c r="M362" s="4"/>
    </row>
    <row r="363" spans="1:13">
      <c r="A363" s="3">
        <v>45764</v>
      </c>
      <c r="B363" s="4" t="s">
        <v>4</v>
      </c>
      <c r="C363" s="4" t="s">
        <v>26</v>
      </c>
      <c r="D363" s="4" t="s">
        <v>25</v>
      </c>
      <c r="E363" s="4">
        <v>7</v>
      </c>
      <c r="F363" s="4">
        <v>27141</v>
      </c>
      <c r="G363" s="4">
        <v>189987</v>
      </c>
      <c r="H363" s="4">
        <v>149381</v>
      </c>
      <c r="I363" s="4"/>
      <c r="J363" s="4"/>
      <c r="K363" s="4"/>
      <c r="L363" s="6">
        <f t="shared" si="5"/>
        <v>1.27182841191316</v>
      </c>
      <c r="M363" s="4"/>
    </row>
    <row r="364" spans="1:13">
      <c r="A364" s="3">
        <v>45662</v>
      </c>
      <c r="B364" s="4" t="s">
        <v>5</v>
      </c>
      <c r="C364" s="4" t="s">
        <v>22</v>
      </c>
      <c r="D364" s="4" t="s">
        <v>30</v>
      </c>
      <c r="E364" s="4">
        <v>9</v>
      </c>
      <c r="F364" s="4">
        <v>29974</v>
      </c>
      <c r="G364" s="4">
        <v>269766</v>
      </c>
      <c r="H364" s="4">
        <v>26495</v>
      </c>
      <c r="I364" s="4"/>
      <c r="J364" s="4"/>
      <c r="K364" s="4"/>
      <c r="L364" s="6">
        <f t="shared" si="5"/>
        <v>10.1817701453104</v>
      </c>
      <c r="M364" s="4"/>
    </row>
    <row r="365" spans="1:13">
      <c r="A365" s="3">
        <v>45757</v>
      </c>
      <c r="B365" s="4" t="s">
        <v>5</v>
      </c>
      <c r="C365" s="4" t="s">
        <v>24</v>
      </c>
      <c r="D365" s="4" t="s">
        <v>27</v>
      </c>
      <c r="E365" s="4">
        <v>2</v>
      </c>
      <c r="F365" s="4">
        <v>44020</v>
      </c>
      <c r="G365" s="4">
        <v>88040</v>
      </c>
      <c r="H365" s="4">
        <v>83471</v>
      </c>
      <c r="I365" s="4"/>
      <c r="J365" s="4"/>
      <c r="K365" s="4"/>
      <c r="L365" s="6">
        <f t="shared" si="5"/>
        <v>1.05473757352853</v>
      </c>
      <c r="M365" s="4"/>
    </row>
    <row r="366" spans="1:13">
      <c r="A366" s="3">
        <v>45783</v>
      </c>
      <c r="B366" s="4" t="s">
        <v>8</v>
      </c>
      <c r="C366" s="4" t="s">
        <v>26</v>
      </c>
      <c r="D366" s="4" t="s">
        <v>30</v>
      </c>
      <c r="E366" s="4">
        <v>9</v>
      </c>
      <c r="F366" s="4">
        <v>3735</v>
      </c>
      <c r="G366" s="4">
        <v>33615</v>
      </c>
      <c r="H366" s="4">
        <v>94962</v>
      </c>
      <c r="I366" s="4"/>
      <c r="J366" s="4"/>
      <c r="K366" s="4"/>
      <c r="L366" s="6">
        <f t="shared" si="5"/>
        <v>0.353983698742655</v>
      </c>
      <c r="M366" s="4"/>
    </row>
    <row r="367" spans="1:13">
      <c r="A367" s="3">
        <v>45770</v>
      </c>
      <c r="B367" s="4" t="s">
        <v>6</v>
      </c>
      <c r="C367" s="4" t="s">
        <v>28</v>
      </c>
      <c r="D367" s="4" t="s">
        <v>29</v>
      </c>
      <c r="E367" s="4">
        <v>8</v>
      </c>
      <c r="F367" s="4">
        <v>5346</v>
      </c>
      <c r="G367" s="4">
        <v>42768</v>
      </c>
      <c r="H367" s="4">
        <v>28605</v>
      </c>
      <c r="I367" s="4"/>
      <c r="J367" s="4"/>
      <c r="K367" s="4"/>
      <c r="L367" s="6">
        <f t="shared" si="5"/>
        <v>1.49512323020451</v>
      </c>
      <c r="M367" s="4"/>
    </row>
    <row r="368" spans="1:13">
      <c r="A368" s="3">
        <v>45704</v>
      </c>
      <c r="B368" s="4" t="s">
        <v>2</v>
      </c>
      <c r="C368" s="4" t="s">
        <v>26</v>
      </c>
      <c r="D368" s="4" t="s">
        <v>25</v>
      </c>
      <c r="E368" s="4">
        <v>7</v>
      </c>
      <c r="F368" s="4">
        <v>1952</v>
      </c>
      <c r="G368" s="4">
        <v>13664</v>
      </c>
      <c r="H368" s="4">
        <v>34756</v>
      </c>
      <c r="I368" s="4"/>
      <c r="J368" s="4"/>
      <c r="K368" s="4"/>
      <c r="L368" s="6">
        <f t="shared" si="5"/>
        <v>0.393140752675797</v>
      </c>
      <c r="M368" s="4"/>
    </row>
    <row r="369" spans="1:13">
      <c r="A369" s="3">
        <v>45681</v>
      </c>
      <c r="B369" s="4" t="s">
        <v>3</v>
      </c>
      <c r="C369" s="4" t="s">
        <v>22</v>
      </c>
      <c r="D369" s="4" t="s">
        <v>29</v>
      </c>
      <c r="E369" s="4">
        <v>8</v>
      </c>
      <c r="F369" s="4">
        <v>34172</v>
      </c>
      <c r="G369" s="4">
        <v>273376</v>
      </c>
      <c r="H369" s="4">
        <v>87947</v>
      </c>
      <c r="I369" s="4"/>
      <c r="J369" s="4"/>
      <c r="K369" s="4"/>
      <c r="L369" s="6">
        <f t="shared" si="5"/>
        <v>3.10841756967264</v>
      </c>
      <c r="M369" s="4"/>
    </row>
    <row r="370" spans="1:13">
      <c r="A370" s="3">
        <v>45683</v>
      </c>
      <c r="B370" s="4" t="s">
        <v>2</v>
      </c>
      <c r="C370" s="4" t="s">
        <v>24</v>
      </c>
      <c r="D370" s="4" t="s">
        <v>33</v>
      </c>
      <c r="E370" s="4">
        <v>7</v>
      </c>
      <c r="F370" s="4">
        <v>8775</v>
      </c>
      <c r="G370" s="4">
        <v>61425</v>
      </c>
      <c r="H370" s="4">
        <v>162393</v>
      </c>
      <c r="I370" s="4"/>
      <c r="J370" s="4"/>
      <c r="K370" s="4"/>
      <c r="L370" s="6">
        <f t="shared" si="5"/>
        <v>0.378249062459589</v>
      </c>
      <c r="M370" s="4"/>
    </row>
    <row r="371" spans="1:13">
      <c r="A371" s="3">
        <v>45838</v>
      </c>
      <c r="B371" s="4" t="s">
        <v>4</v>
      </c>
      <c r="C371" s="4" t="s">
        <v>22</v>
      </c>
      <c r="D371" s="4" t="s">
        <v>32</v>
      </c>
      <c r="E371" s="4">
        <v>1</v>
      </c>
      <c r="F371" s="4">
        <v>5033</v>
      </c>
      <c r="G371" s="4">
        <v>5033</v>
      </c>
      <c r="H371" s="4">
        <v>163975</v>
      </c>
      <c r="I371" s="4"/>
      <c r="J371" s="4"/>
      <c r="K371" s="4"/>
      <c r="L371" s="6">
        <f t="shared" si="5"/>
        <v>0.0306937033084312</v>
      </c>
      <c r="M371" s="4"/>
    </row>
    <row r="372" spans="1:13">
      <c r="A372" s="3">
        <v>45754</v>
      </c>
      <c r="B372" s="4" t="s">
        <v>8</v>
      </c>
      <c r="C372" s="4" t="s">
        <v>26</v>
      </c>
      <c r="D372" s="4" t="s">
        <v>31</v>
      </c>
      <c r="E372" s="4">
        <v>9</v>
      </c>
      <c r="F372" s="4">
        <v>26674</v>
      </c>
      <c r="G372" s="4">
        <v>240066</v>
      </c>
      <c r="H372" s="4">
        <v>176653</v>
      </c>
      <c r="I372" s="4"/>
      <c r="J372" s="4"/>
      <c r="K372" s="4"/>
      <c r="L372" s="6">
        <f t="shared" si="5"/>
        <v>1.35896927875553</v>
      </c>
      <c r="M372" s="4"/>
    </row>
    <row r="373" spans="1:13">
      <c r="A373" s="3">
        <v>45723</v>
      </c>
      <c r="B373" s="4" t="s">
        <v>6</v>
      </c>
      <c r="C373" s="4" t="s">
        <v>26</v>
      </c>
      <c r="D373" s="4" t="s">
        <v>25</v>
      </c>
      <c r="E373" s="4">
        <v>2</v>
      </c>
      <c r="F373" s="4">
        <v>20196</v>
      </c>
      <c r="G373" s="4">
        <v>40392</v>
      </c>
      <c r="H373" s="4">
        <v>107870</v>
      </c>
      <c r="I373" s="4"/>
      <c r="J373" s="4"/>
      <c r="K373" s="4"/>
      <c r="L373" s="6">
        <f t="shared" si="5"/>
        <v>0.374450727727821</v>
      </c>
      <c r="M373" s="4"/>
    </row>
    <row r="374" spans="1:13">
      <c r="A374" s="3">
        <v>45830</v>
      </c>
      <c r="B374" s="4" t="s">
        <v>5</v>
      </c>
      <c r="C374" s="4" t="s">
        <v>26</v>
      </c>
      <c r="D374" s="4" t="s">
        <v>23</v>
      </c>
      <c r="E374" s="4">
        <v>9</v>
      </c>
      <c r="F374" s="4">
        <v>28940</v>
      </c>
      <c r="G374" s="4">
        <v>260460</v>
      </c>
      <c r="H374" s="4">
        <v>46050</v>
      </c>
      <c r="I374" s="4"/>
      <c r="J374" s="4"/>
      <c r="K374" s="4"/>
      <c r="L374" s="6">
        <f t="shared" si="5"/>
        <v>5.65602605863192</v>
      </c>
      <c r="M374" s="4"/>
    </row>
    <row r="375" spans="1:13">
      <c r="A375" s="3">
        <v>45743</v>
      </c>
      <c r="B375" s="4" t="s">
        <v>5</v>
      </c>
      <c r="C375" s="4" t="s">
        <v>28</v>
      </c>
      <c r="D375" s="4" t="s">
        <v>33</v>
      </c>
      <c r="E375" s="4">
        <v>2</v>
      </c>
      <c r="F375" s="4">
        <v>27434</v>
      </c>
      <c r="G375" s="4">
        <v>54868</v>
      </c>
      <c r="H375" s="4">
        <v>160589</v>
      </c>
      <c r="I375" s="4"/>
      <c r="J375" s="4"/>
      <c r="K375" s="4"/>
      <c r="L375" s="6">
        <f t="shared" si="5"/>
        <v>0.341667237482019</v>
      </c>
      <c r="M375" s="4"/>
    </row>
    <row r="376" spans="1:13">
      <c r="A376" s="3">
        <v>45810</v>
      </c>
      <c r="B376" s="4" t="s">
        <v>7</v>
      </c>
      <c r="C376" s="4" t="s">
        <v>24</v>
      </c>
      <c r="D376" s="4" t="s">
        <v>33</v>
      </c>
      <c r="E376" s="4">
        <v>4</v>
      </c>
      <c r="F376" s="4">
        <v>36342</v>
      </c>
      <c r="G376" s="4">
        <v>145368</v>
      </c>
      <c r="H376" s="4">
        <v>189859</v>
      </c>
      <c r="I376" s="4"/>
      <c r="J376" s="4"/>
      <c r="K376" s="4"/>
      <c r="L376" s="6">
        <f t="shared" si="5"/>
        <v>0.765662939339194</v>
      </c>
      <c r="M376" s="4"/>
    </row>
    <row r="377" spans="1:13">
      <c r="A377" s="3">
        <v>45692</v>
      </c>
      <c r="B377" s="4" t="s">
        <v>6</v>
      </c>
      <c r="C377" s="4" t="s">
        <v>26</v>
      </c>
      <c r="D377" s="4" t="s">
        <v>23</v>
      </c>
      <c r="E377" s="4">
        <v>4</v>
      </c>
      <c r="F377" s="4">
        <v>3901</v>
      </c>
      <c r="G377" s="4">
        <v>15604</v>
      </c>
      <c r="H377" s="4">
        <v>184772</v>
      </c>
      <c r="I377" s="4"/>
      <c r="J377" s="4"/>
      <c r="K377" s="4"/>
      <c r="L377" s="6">
        <f t="shared" si="5"/>
        <v>0.0844500248955469</v>
      </c>
      <c r="M377" s="4"/>
    </row>
    <row r="378" spans="1:13">
      <c r="A378" s="3">
        <v>45665</v>
      </c>
      <c r="B378" s="4" t="s">
        <v>8</v>
      </c>
      <c r="C378" s="4" t="s">
        <v>22</v>
      </c>
      <c r="D378" s="4" t="s">
        <v>27</v>
      </c>
      <c r="E378" s="4">
        <v>10</v>
      </c>
      <c r="F378" s="4">
        <v>28554</v>
      </c>
      <c r="G378" s="4">
        <v>285540</v>
      </c>
      <c r="H378" s="4">
        <v>135372</v>
      </c>
      <c r="I378" s="4"/>
      <c r="J378" s="4"/>
      <c r="K378" s="4"/>
      <c r="L378" s="6">
        <f t="shared" si="5"/>
        <v>2.1092988210265</v>
      </c>
      <c r="M378" s="4"/>
    </row>
    <row r="379" spans="1:13">
      <c r="A379" s="3">
        <v>45754</v>
      </c>
      <c r="B379" s="4" t="s">
        <v>3</v>
      </c>
      <c r="C379" s="4" t="s">
        <v>24</v>
      </c>
      <c r="D379" s="4" t="s">
        <v>33</v>
      </c>
      <c r="E379" s="4">
        <v>9</v>
      </c>
      <c r="F379" s="4">
        <v>18725</v>
      </c>
      <c r="G379" s="4">
        <v>168525</v>
      </c>
      <c r="H379" s="4">
        <v>115585</v>
      </c>
      <c r="I379" s="4"/>
      <c r="J379" s="4"/>
      <c r="K379" s="4"/>
      <c r="L379" s="6">
        <f t="shared" si="5"/>
        <v>1.45801790889821</v>
      </c>
      <c r="M379" s="4"/>
    </row>
    <row r="380" spans="1:13">
      <c r="A380" s="3">
        <v>45718</v>
      </c>
      <c r="B380" s="4" t="s">
        <v>8</v>
      </c>
      <c r="C380" s="4" t="s">
        <v>24</v>
      </c>
      <c r="D380" s="4" t="s">
        <v>25</v>
      </c>
      <c r="E380" s="4">
        <v>8</v>
      </c>
      <c r="F380" s="4">
        <v>26211</v>
      </c>
      <c r="G380" s="4">
        <v>209688</v>
      </c>
      <c r="H380" s="4">
        <v>21618</v>
      </c>
      <c r="I380" s="4"/>
      <c r="J380" s="4"/>
      <c r="K380" s="4"/>
      <c r="L380" s="6">
        <f t="shared" si="5"/>
        <v>9.69969469886206</v>
      </c>
      <c r="M380" s="4"/>
    </row>
    <row r="381" spans="1:13">
      <c r="A381" s="3">
        <v>45670</v>
      </c>
      <c r="B381" s="4" t="s">
        <v>6</v>
      </c>
      <c r="C381" s="4" t="s">
        <v>28</v>
      </c>
      <c r="D381" s="4" t="s">
        <v>23</v>
      </c>
      <c r="E381" s="4">
        <v>7</v>
      </c>
      <c r="F381" s="4">
        <v>3492</v>
      </c>
      <c r="G381" s="4">
        <v>24444</v>
      </c>
      <c r="H381" s="4">
        <v>22594</v>
      </c>
      <c r="I381" s="4"/>
      <c r="J381" s="4"/>
      <c r="K381" s="4"/>
      <c r="L381" s="6">
        <f t="shared" si="5"/>
        <v>1.08188014517128</v>
      </c>
      <c r="M381" s="4"/>
    </row>
    <row r="382" spans="1:13">
      <c r="A382" s="3">
        <v>45727</v>
      </c>
      <c r="B382" s="4" t="s">
        <v>4</v>
      </c>
      <c r="C382" s="4" t="s">
        <v>22</v>
      </c>
      <c r="D382" s="4" t="s">
        <v>25</v>
      </c>
      <c r="E382" s="4">
        <v>4</v>
      </c>
      <c r="F382" s="4">
        <v>18500</v>
      </c>
      <c r="G382" s="4">
        <v>74000</v>
      </c>
      <c r="H382" s="4">
        <v>5422</v>
      </c>
      <c r="I382" s="4"/>
      <c r="J382" s="4"/>
      <c r="K382" s="4"/>
      <c r="L382" s="6">
        <f t="shared" si="5"/>
        <v>13.6481003319808</v>
      </c>
      <c r="M382" s="4"/>
    </row>
    <row r="383" spans="1:13">
      <c r="A383" s="3">
        <v>45721</v>
      </c>
      <c r="B383" s="4" t="s">
        <v>5</v>
      </c>
      <c r="C383" s="4" t="s">
        <v>24</v>
      </c>
      <c r="D383" s="4" t="s">
        <v>25</v>
      </c>
      <c r="E383" s="4">
        <v>6</v>
      </c>
      <c r="F383" s="4">
        <v>6460</v>
      </c>
      <c r="G383" s="4">
        <v>38760</v>
      </c>
      <c r="H383" s="4">
        <v>103081</v>
      </c>
      <c r="I383" s="4"/>
      <c r="J383" s="4"/>
      <c r="K383" s="4"/>
      <c r="L383" s="6">
        <f t="shared" si="5"/>
        <v>0.376014978512044</v>
      </c>
      <c r="M383" s="4"/>
    </row>
    <row r="384" spans="1:13">
      <c r="A384" s="3">
        <v>45764</v>
      </c>
      <c r="B384" s="4" t="s">
        <v>5</v>
      </c>
      <c r="C384" s="4" t="s">
        <v>26</v>
      </c>
      <c r="D384" s="4" t="s">
        <v>32</v>
      </c>
      <c r="E384" s="4">
        <v>2</v>
      </c>
      <c r="F384" s="4">
        <v>46058</v>
      </c>
      <c r="G384" s="4">
        <v>92116</v>
      </c>
      <c r="H384" s="4">
        <v>25813</v>
      </c>
      <c r="I384" s="4"/>
      <c r="J384" s="4"/>
      <c r="K384" s="4"/>
      <c r="L384" s="6">
        <f t="shared" si="5"/>
        <v>3.56858947042188</v>
      </c>
      <c r="M384" s="4"/>
    </row>
    <row r="385" spans="1:13">
      <c r="A385" s="3">
        <v>45741</v>
      </c>
      <c r="B385" s="4" t="s">
        <v>7</v>
      </c>
      <c r="C385" s="4" t="s">
        <v>28</v>
      </c>
      <c r="D385" s="4" t="s">
        <v>23</v>
      </c>
      <c r="E385" s="4">
        <v>9</v>
      </c>
      <c r="F385" s="4">
        <v>35127</v>
      </c>
      <c r="G385" s="4">
        <v>316143</v>
      </c>
      <c r="H385" s="4">
        <v>50316</v>
      </c>
      <c r="I385" s="4"/>
      <c r="J385" s="4"/>
      <c r="K385" s="4"/>
      <c r="L385" s="6">
        <f t="shared" si="5"/>
        <v>6.28315048891009</v>
      </c>
      <c r="M385" s="4"/>
    </row>
    <row r="386" spans="1:13">
      <c r="A386" s="3">
        <v>45691</v>
      </c>
      <c r="B386" s="4" t="s">
        <v>6</v>
      </c>
      <c r="C386" s="4" t="s">
        <v>24</v>
      </c>
      <c r="D386" s="4" t="s">
        <v>27</v>
      </c>
      <c r="E386" s="4">
        <v>9</v>
      </c>
      <c r="F386" s="4">
        <v>6739</v>
      </c>
      <c r="G386" s="4">
        <v>60651</v>
      </c>
      <c r="H386" s="4">
        <v>4204</v>
      </c>
      <c r="I386" s="4"/>
      <c r="J386" s="4"/>
      <c r="K386" s="4"/>
      <c r="L386" s="6">
        <f t="shared" si="5"/>
        <v>14.4269743101808</v>
      </c>
      <c r="M386" s="4"/>
    </row>
    <row r="387" spans="1:13">
      <c r="A387" s="3">
        <v>45825</v>
      </c>
      <c r="B387" s="4" t="s">
        <v>4</v>
      </c>
      <c r="C387" s="4" t="s">
        <v>28</v>
      </c>
      <c r="D387" s="4" t="s">
        <v>29</v>
      </c>
      <c r="E387" s="4">
        <v>1</v>
      </c>
      <c r="F387" s="4">
        <v>7128</v>
      </c>
      <c r="G387" s="4">
        <v>7128</v>
      </c>
      <c r="H387" s="4">
        <v>38590</v>
      </c>
      <c r="I387" s="4"/>
      <c r="J387" s="4"/>
      <c r="K387" s="4"/>
      <c r="L387" s="6">
        <f t="shared" ref="L387:L450" si="6">G387/H387</f>
        <v>0.184711065042757</v>
      </c>
      <c r="M387" s="4"/>
    </row>
    <row r="388" spans="1:13">
      <c r="A388" s="3">
        <v>45659</v>
      </c>
      <c r="B388" s="4" t="s">
        <v>4</v>
      </c>
      <c r="C388" s="4" t="s">
        <v>22</v>
      </c>
      <c r="D388" s="4" t="s">
        <v>32</v>
      </c>
      <c r="E388" s="4">
        <v>8</v>
      </c>
      <c r="F388" s="4">
        <v>30789</v>
      </c>
      <c r="G388" s="4">
        <v>246312</v>
      </c>
      <c r="H388" s="4">
        <v>105164</v>
      </c>
      <c r="I388" s="4"/>
      <c r="J388" s="4"/>
      <c r="K388" s="4"/>
      <c r="L388" s="6">
        <f t="shared" si="6"/>
        <v>2.34217032444563</v>
      </c>
      <c r="M388" s="4"/>
    </row>
    <row r="389" spans="1:13">
      <c r="A389" s="3">
        <v>45802</v>
      </c>
      <c r="B389" s="4" t="s">
        <v>6</v>
      </c>
      <c r="C389" s="4" t="s">
        <v>24</v>
      </c>
      <c r="D389" s="4" t="s">
        <v>31</v>
      </c>
      <c r="E389" s="4">
        <v>6</v>
      </c>
      <c r="F389" s="4">
        <v>34167</v>
      </c>
      <c r="G389" s="4">
        <v>205002</v>
      </c>
      <c r="H389" s="4">
        <v>146270</v>
      </c>
      <c r="I389" s="4"/>
      <c r="J389" s="4"/>
      <c r="K389" s="4"/>
      <c r="L389" s="6">
        <f t="shared" si="6"/>
        <v>1.40153141450742</v>
      </c>
      <c r="M389" s="4"/>
    </row>
    <row r="390" spans="1:13">
      <c r="A390" s="3">
        <v>45811</v>
      </c>
      <c r="B390" s="4" t="s">
        <v>4</v>
      </c>
      <c r="C390" s="4" t="s">
        <v>28</v>
      </c>
      <c r="D390" s="4" t="s">
        <v>31</v>
      </c>
      <c r="E390" s="4">
        <v>4</v>
      </c>
      <c r="F390" s="4">
        <v>27982</v>
      </c>
      <c r="G390" s="4">
        <v>111928</v>
      </c>
      <c r="H390" s="4">
        <v>59760</v>
      </c>
      <c r="I390" s="4"/>
      <c r="J390" s="4"/>
      <c r="K390" s="4"/>
      <c r="L390" s="6">
        <f t="shared" si="6"/>
        <v>1.87295850066934</v>
      </c>
      <c r="M390" s="4"/>
    </row>
    <row r="391" spans="1:13">
      <c r="A391" s="3">
        <v>45740</v>
      </c>
      <c r="B391" s="4" t="s">
        <v>4</v>
      </c>
      <c r="C391" s="4" t="s">
        <v>26</v>
      </c>
      <c r="D391" s="4" t="s">
        <v>30</v>
      </c>
      <c r="E391" s="4">
        <v>1</v>
      </c>
      <c r="F391" s="4">
        <v>45178</v>
      </c>
      <c r="G391" s="4">
        <v>45178</v>
      </c>
      <c r="H391" s="4">
        <v>89864</v>
      </c>
      <c r="I391" s="4"/>
      <c r="J391" s="4"/>
      <c r="K391" s="4"/>
      <c r="L391" s="6">
        <f t="shared" si="6"/>
        <v>0.502737469954598</v>
      </c>
      <c r="M391" s="4"/>
    </row>
    <row r="392" spans="1:13">
      <c r="A392" s="3">
        <v>45718</v>
      </c>
      <c r="B392" s="4" t="s">
        <v>8</v>
      </c>
      <c r="C392" s="4" t="s">
        <v>28</v>
      </c>
      <c r="D392" s="4" t="s">
        <v>27</v>
      </c>
      <c r="E392" s="4">
        <v>1</v>
      </c>
      <c r="F392" s="4">
        <v>20686</v>
      </c>
      <c r="G392" s="4">
        <v>20686</v>
      </c>
      <c r="H392" s="4">
        <v>7343</v>
      </c>
      <c r="I392" s="4"/>
      <c r="J392" s="4"/>
      <c r="K392" s="4"/>
      <c r="L392" s="6">
        <f t="shared" si="6"/>
        <v>2.817104725589</v>
      </c>
      <c r="M392" s="4"/>
    </row>
    <row r="393" spans="1:13">
      <c r="A393" s="3">
        <v>45817</v>
      </c>
      <c r="B393" s="4" t="s">
        <v>4</v>
      </c>
      <c r="C393" s="4" t="s">
        <v>28</v>
      </c>
      <c r="D393" s="4" t="s">
        <v>33</v>
      </c>
      <c r="E393" s="4">
        <v>7</v>
      </c>
      <c r="F393" s="4">
        <v>22176</v>
      </c>
      <c r="G393" s="4">
        <v>155232</v>
      </c>
      <c r="H393" s="4">
        <v>107152</v>
      </c>
      <c r="I393" s="4"/>
      <c r="J393" s="4"/>
      <c r="K393" s="4"/>
      <c r="L393" s="6">
        <f t="shared" si="6"/>
        <v>1.44870837688517</v>
      </c>
      <c r="M393" s="4"/>
    </row>
    <row r="394" spans="1:13">
      <c r="A394" s="3">
        <v>45677</v>
      </c>
      <c r="B394" s="4" t="s">
        <v>5</v>
      </c>
      <c r="C394" s="4" t="s">
        <v>28</v>
      </c>
      <c r="D394" s="4" t="s">
        <v>33</v>
      </c>
      <c r="E394" s="4">
        <v>10</v>
      </c>
      <c r="F394" s="4">
        <v>34977</v>
      </c>
      <c r="G394" s="4">
        <v>349770</v>
      </c>
      <c r="H394" s="4">
        <v>109779</v>
      </c>
      <c r="I394" s="4"/>
      <c r="J394" s="4"/>
      <c r="K394" s="4"/>
      <c r="L394" s="6">
        <f t="shared" si="6"/>
        <v>3.18612849452081</v>
      </c>
      <c r="M394" s="4"/>
    </row>
    <row r="395" spans="1:13">
      <c r="A395" s="3">
        <v>45770</v>
      </c>
      <c r="B395" s="4" t="s">
        <v>8</v>
      </c>
      <c r="C395" s="4" t="s">
        <v>28</v>
      </c>
      <c r="D395" s="4" t="s">
        <v>23</v>
      </c>
      <c r="E395" s="4">
        <v>9</v>
      </c>
      <c r="F395" s="4">
        <v>24713</v>
      </c>
      <c r="G395" s="4">
        <v>222417</v>
      </c>
      <c r="H395" s="4">
        <v>136135</v>
      </c>
      <c r="I395" s="4"/>
      <c r="J395" s="4"/>
      <c r="K395" s="4"/>
      <c r="L395" s="6">
        <f t="shared" si="6"/>
        <v>1.63379733352922</v>
      </c>
      <c r="M395" s="4"/>
    </row>
    <row r="396" spans="1:13">
      <c r="A396" s="3">
        <v>45739</v>
      </c>
      <c r="B396" s="4" t="s">
        <v>2</v>
      </c>
      <c r="C396" s="4" t="s">
        <v>28</v>
      </c>
      <c r="D396" s="4" t="s">
        <v>31</v>
      </c>
      <c r="E396" s="4">
        <v>9</v>
      </c>
      <c r="F396" s="4">
        <v>14634</v>
      </c>
      <c r="G396" s="4">
        <v>131706</v>
      </c>
      <c r="H396" s="4">
        <v>173931</v>
      </c>
      <c r="I396" s="4"/>
      <c r="J396" s="4"/>
      <c r="K396" s="4"/>
      <c r="L396" s="6">
        <f t="shared" si="6"/>
        <v>0.757231315866637</v>
      </c>
      <c r="M396" s="4"/>
    </row>
    <row r="397" spans="1:13">
      <c r="A397" s="3">
        <v>45812</v>
      </c>
      <c r="B397" s="4" t="s">
        <v>5</v>
      </c>
      <c r="C397" s="4" t="s">
        <v>26</v>
      </c>
      <c r="D397" s="4" t="s">
        <v>25</v>
      </c>
      <c r="E397" s="4">
        <v>7</v>
      </c>
      <c r="F397" s="4">
        <v>42281</v>
      </c>
      <c r="G397" s="4">
        <v>295967</v>
      </c>
      <c r="H397" s="4">
        <v>184916</v>
      </c>
      <c r="I397" s="4"/>
      <c r="J397" s="4"/>
      <c r="K397" s="4"/>
      <c r="L397" s="6">
        <f t="shared" si="6"/>
        <v>1.60054835709187</v>
      </c>
      <c r="M397" s="4"/>
    </row>
    <row r="398" spans="1:13">
      <c r="A398" s="3">
        <v>45808</v>
      </c>
      <c r="B398" s="4" t="s">
        <v>3</v>
      </c>
      <c r="C398" s="4" t="s">
        <v>28</v>
      </c>
      <c r="D398" s="4" t="s">
        <v>29</v>
      </c>
      <c r="E398" s="4">
        <v>2</v>
      </c>
      <c r="F398" s="4">
        <v>22094</v>
      </c>
      <c r="G398" s="4">
        <v>44188</v>
      </c>
      <c r="H398" s="4">
        <v>182139</v>
      </c>
      <c r="I398" s="4"/>
      <c r="J398" s="4"/>
      <c r="K398" s="4"/>
      <c r="L398" s="6">
        <f t="shared" si="6"/>
        <v>0.242605921850894</v>
      </c>
      <c r="M398" s="4"/>
    </row>
    <row r="399" spans="1:13">
      <c r="A399" s="3">
        <v>45687</v>
      </c>
      <c r="B399" s="4" t="s">
        <v>6</v>
      </c>
      <c r="C399" s="4" t="s">
        <v>24</v>
      </c>
      <c r="D399" s="4" t="s">
        <v>29</v>
      </c>
      <c r="E399" s="4">
        <v>9</v>
      </c>
      <c r="F399" s="4">
        <v>48438</v>
      </c>
      <c r="G399" s="4">
        <v>435942</v>
      </c>
      <c r="H399" s="4">
        <v>163276</v>
      </c>
      <c r="I399" s="4"/>
      <c r="J399" s="4"/>
      <c r="K399" s="4"/>
      <c r="L399" s="6">
        <f t="shared" si="6"/>
        <v>2.66996986697371</v>
      </c>
      <c r="M399" s="4"/>
    </row>
    <row r="400" spans="1:13">
      <c r="A400" s="3">
        <v>45797</v>
      </c>
      <c r="B400" s="4" t="s">
        <v>6</v>
      </c>
      <c r="C400" s="4" t="s">
        <v>28</v>
      </c>
      <c r="D400" s="4" t="s">
        <v>27</v>
      </c>
      <c r="E400" s="4">
        <v>1</v>
      </c>
      <c r="F400" s="4">
        <v>1806</v>
      </c>
      <c r="G400" s="4">
        <v>1806</v>
      </c>
      <c r="H400" s="4">
        <v>98167</v>
      </c>
      <c r="I400" s="4"/>
      <c r="J400" s="4"/>
      <c r="K400" s="4"/>
      <c r="L400" s="6">
        <f t="shared" si="6"/>
        <v>0.0183972210620677</v>
      </c>
      <c r="M400" s="4"/>
    </row>
    <row r="401" spans="1:13">
      <c r="A401" s="3">
        <v>45693</v>
      </c>
      <c r="B401" s="4" t="s">
        <v>4</v>
      </c>
      <c r="C401" s="4" t="s">
        <v>26</v>
      </c>
      <c r="D401" s="4" t="s">
        <v>31</v>
      </c>
      <c r="E401" s="4">
        <v>2</v>
      </c>
      <c r="F401" s="4">
        <v>1797</v>
      </c>
      <c r="G401" s="4">
        <v>3594</v>
      </c>
      <c r="H401" s="4">
        <v>66892</v>
      </c>
      <c r="I401" s="4"/>
      <c r="J401" s="4"/>
      <c r="K401" s="4"/>
      <c r="L401" s="6">
        <f t="shared" si="6"/>
        <v>0.0537283980147103</v>
      </c>
      <c r="M401" s="4"/>
    </row>
    <row r="402" spans="1:13">
      <c r="A402" s="3">
        <v>45764</v>
      </c>
      <c r="B402" s="4" t="s">
        <v>7</v>
      </c>
      <c r="C402" s="4" t="s">
        <v>28</v>
      </c>
      <c r="D402" s="4" t="s">
        <v>31</v>
      </c>
      <c r="E402" s="4">
        <v>8</v>
      </c>
      <c r="F402" s="4">
        <v>22146</v>
      </c>
      <c r="G402" s="4">
        <v>177168</v>
      </c>
      <c r="H402" s="4">
        <v>118554</v>
      </c>
      <c r="I402" s="4"/>
      <c r="J402" s="4"/>
      <c r="K402" s="4"/>
      <c r="L402" s="6">
        <f t="shared" si="6"/>
        <v>1.49440761172124</v>
      </c>
      <c r="M402" s="4"/>
    </row>
    <row r="403" spans="1:13">
      <c r="A403" s="3">
        <v>45781</v>
      </c>
      <c r="B403" s="4" t="s">
        <v>4</v>
      </c>
      <c r="C403" s="4" t="s">
        <v>28</v>
      </c>
      <c r="D403" s="4" t="s">
        <v>25</v>
      </c>
      <c r="E403" s="4">
        <v>3</v>
      </c>
      <c r="F403" s="4">
        <v>28890</v>
      </c>
      <c r="G403" s="4">
        <v>86670</v>
      </c>
      <c r="H403" s="4">
        <v>172326</v>
      </c>
      <c r="I403" s="4"/>
      <c r="J403" s="4"/>
      <c r="K403" s="4"/>
      <c r="L403" s="6">
        <f t="shared" si="6"/>
        <v>0.502942098116361</v>
      </c>
      <c r="M403" s="4"/>
    </row>
    <row r="404" spans="1:13">
      <c r="A404" s="3">
        <v>45743</v>
      </c>
      <c r="B404" s="4" t="s">
        <v>2</v>
      </c>
      <c r="C404" s="4" t="s">
        <v>28</v>
      </c>
      <c r="D404" s="4" t="s">
        <v>32</v>
      </c>
      <c r="E404" s="4">
        <v>7</v>
      </c>
      <c r="F404" s="4">
        <v>30365</v>
      </c>
      <c r="G404" s="4">
        <v>212555</v>
      </c>
      <c r="H404" s="4">
        <v>54007</v>
      </c>
      <c r="I404" s="4"/>
      <c r="J404" s="4"/>
      <c r="K404" s="4"/>
      <c r="L404" s="6">
        <f t="shared" si="6"/>
        <v>3.93569352121021</v>
      </c>
      <c r="M404" s="4"/>
    </row>
    <row r="405" spans="1:13">
      <c r="A405" s="3">
        <v>45774</v>
      </c>
      <c r="B405" s="4" t="s">
        <v>2</v>
      </c>
      <c r="C405" s="4" t="s">
        <v>22</v>
      </c>
      <c r="D405" s="4" t="s">
        <v>33</v>
      </c>
      <c r="E405" s="4">
        <v>7</v>
      </c>
      <c r="F405" s="4">
        <v>27290</v>
      </c>
      <c r="G405" s="4">
        <v>191030</v>
      </c>
      <c r="H405" s="4">
        <v>77872</v>
      </c>
      <c r="I405" s="4"/>
      <c r="J405" s="4"/>
      <c r="K405" s="4"/>
      <c r="L405" s="6">
        <f t="shared" si="6"/>
        <v>2.45312821039655</v>
      </c>
      <c r="M405" s="4"/>
    </row>
    <row r="406" spans="1:13">
      <c r="A406" s="3">
        <v>45731</v>
      </c>
      <c r="B406" s="4" t="s">
        <v>2</v>
      </c>
      <c r="C406" s="4" t="s">
        <v>28</v>
      </c>
      <c r="D406" s="4" t="s">
        <v>30</v>
      </c>
      <c r="E406" s="4">
        <v>10</v>
      </c>
      <c r="F406" s="4">
        <v>15468</v>
      </c>
      <c r="G406" s="4">
        <v>154680</v>
      </c>
      <c r="H406" s="4">
        <v>169006</v>
      </c>
      <c r="I406" s="4"/>
      <c r="J406" s="4"/>
      <c r="K406" s="4"/>
      <c r="L406" s="6">
        <f t="shared" si="6"/>
        <v>0.915233778682414</v>
      </c>
      <c r="M406" s="4"/>
    </row>
    <row r="407" spans="1:13">
      <c r="A407" s="3">
        <v>45688</v>
      </c>
      <c r="B407" s="4" t="s">
        <v>7</v>
      </c>
      <c r="C407" s="4" t="s">
        <v>26</v>
      </c>
      <c r="D407" s="4" t="s">
        <v>32</v>
      </c>
      <c r="E407" s="4">
        <v>5</v>
      </c>
      <c r="F407" s="4">
        <v>15432</v>
      </c>
      <c r="G407" s="4">
        <v>77160</v>
      </c>
      <c r="H407" s="4">
        <v>190589</v>
      </c>
      <c r="I407" s="4"/>
      <c r="J407" s="4"/>
      <c r="K407" s="4"/>
      <c r="L407" s="6">
        <f t="shared" si="6"/>
        <v>0.404850227452791</v>
      </c>
      <c r="M407" s="4"/>
    </row>
    <row r="408" spans="1:13">
      <c r="A408" s="3">
        <v>45659</v>
      </c>
      <c r="B408" s="4" t="s">
        <v>6</v>
      </c>
      <c r="C408" s="4" t="s">
        <v>28</v>
      </c>
      <c r="D408" s="4" t="s">
        <v>32</v>
      </c>
      <c r="E408" s="4">
        <v>1</v>
      </c>
      <c r="F408" s="4">
        <v>17385</v>
      </c>
      <c r="G408" s="4">
        <v>17385</v>
      </c>
      <c r="H408" s="4">
        <v>4641</v>
      </c>
      <c r="I408" s="4"/>
      <c r="J408" s="4"/>
      <c r="K408" s="4"/>
      <c r="L408" s="6">
        <f t="shared" si="6"/>
        <v>3.74595992243051</v>
      </c>
      <c r="M408" s="4"/>
    </row>
    <row r="409" spans="1:13">
      <c r="A409" s="3">
        <v>45733</v>
      </c>
      <c r="B409" s="4" t="s">
        <v>3</v>
      </c>
      <c r="C409" s="4" t="s">
        <v>28</v>
      </c>
      <c r="D409" s="4" t="s">
        <v>32</v>
      </c>
      <c r="E409" s="4">
        <v>3</v>
      </c>
      <c r="F409" s="4">
        <v>23172</v>
      </c>
      <c r="G409" s="4">
        <v>69516</v>
      </c>
      <c r="H409" s="4">
        <v>31201</v>
      </c>
      <c r="I409" s="4"/>
      <c r="J409" s="4"/>
      <c r="K409" s="4"/>
      <c r="L409" s="6">
        <f t="shared" si="6"/>
        <v>2.22800551264383</v>
      </c>
      <c r="M409" s="4"/>
    </row>
    <row r="410" spans="1:13">
      <c r="A410" s="3">
        <v>45779</v>
      </c>
      <c r="B410" s="4" t="s">
        <v>2</v>
      </c>
      <c r="C410" s="4" t="s">
        <v>26</v>
      </c>
      <c r="D410" s="4" t="s">
        <v>31</v>
      </c>
      <c r="E410" s="4">
        <v>3</v>
      </c>
      <c r="F410" s="4">
        <v>35143</v>
      </c>
      <c r="G410" s="4">
        <v>105429</v>
      </c>
      <c r="H410" s="4">
        <v>100376</v>
      </c>
      <c r="I410" s="4"/>
      <c r="J410" s="4"/>
      <c r="K410" s="4"/>
      <c r="L410" s="6">
        <f t="shared" si="6"/>
        <v>1.05034071889695</v>
      </c>
      <c r="M410" s="4"/>
    </row>
    <row r="411" spans="1:13">
      <c r="A411" s="3">
        <v>45755</v>
      </c>
      <c r="B411" s="4" t="s">
        <v>5</v>
      </c>
      <c r="C411" s="4" t="s">
        <v>26</v>
      </c>
      <c r="D411" s="4" t="s">
        <v>30</v>
      </c>
      <c r="E411" s="4">
        <v>7</v>
      </c>
      <c r="F411" s="4">
        <v>19613</v>
      </c>
      <c r="G411" s="4">
        <v>137291</v>
      </c>
      <c r="H411" s="4">
        <v>42844</v>
      </c>
      <c r="I411" s="4"/>
      <c r="J411" s="4"/>
      <c r="K411" s="4"/>
      <c r="L411" s="6">
        <f t="shared" si="6"/>
        <v>3.20443936140416</v>
      </c>
      <c r="M411" s="4"/>
    </row>
    <row r="412" spans="1:13">
      <c r="A412" s="3">
        <v>45702</v>
      </c>
      <c r="B412" s="4" t="s">
        <v>4</v>
      </c>
      <c r="C412" s="4" t="s">
        <v>24</v>
      </c>
      <c r="D412" s="4" t="s">
        <v>31</v>
      </c>
      <c r="E412" s="4">
        <v>5</v>
      </c>
      <c r="F412" s="4">
        <v>29175</v>
      </c>
      <c r="G412" s="4">
        <v>145875</v>
      </c>
      <c r="H412" s="4">
        <v>186272</v>
      </c>
      <c r="I412" s="4"/>
      <c r="J412" s="4"/>
      <c r="K412" s="4"/>
      <c r="L412" s="6">
        <f t="shared" si="6"/>
        <v>0.783128972685106</v>
      </c>
      <c r="M412" s="4"/>
    </row>
    <row r="413" spans="1:13">
      <c r="A413" s="3">
        <v>45774</v>
      </c>
      <c r="B413" s="4" t="s">
        <v>3</v>
      </c>
      <c r="C413" s="4" t="s">
        <v>28</v>
      </c>
      <c r="D413" s="4" t="s">
        <v>33</v>
      </c>
      <c r="E413" s="4">
        <v>2</v>
      </c>
      <c r="F413" s="4">
        <v>761</v>
      </c>
      <c r="G413" s="4">
        <v>1522</v>
      </c>
      <c r="H413" s="4">
        <v>189024</v>
      </c>
      <c r="I413" s="4"/>
      <c r="J413" s="4"/>
      <c r="K413" s="4"/>
      <c r="L413" s="6">
        <f t="shared" si="6"/>
        <v>0.00805188759099374</v>
      </c>
      <c r="M413" s="4"/>
    </row>
    <row r="414" spans="1:13">
      <c r="A414" s="3">
        <v>45791</v>
      </c>
      <c r="B414" s="4" t="s">
        <v>4</v>
      </c>
      <c r="C414" s="4" t="s">
        <v>24</v>
      </c>
      <c r="D414" s="4" t="s">
        <v>33</v>
      </c>
      <c r="E414" s="4">
        <v>7</v>
      </c>
      <c r="F414" s="4">
        <v>44005</v>
      </c>
      <c r="G414" s="4">
        <v>308035</v>
      </c>
      <c r="H414" s="4">
        <v>37581</v>
      </c>
      <c r="I414" s="4"/>
      <c r="J414" s="4"/>
      <c r="K414" s="4"/>
      <c r="L414" s="6">
        <f t="shared" si="6"/>
        <v>8.19656209254677</v>
      </c>
      <c r="M414" s="4"/>
    </row>
    <row r="415" spans="1:13">
      <c r="A415" s="3">
        <v>45714</v>
      </c>
      <c r="B415" s="4" t="s">
        <v>3</v>
      </c>
      <c r="C415" s="4" t="s">
        <v>28</v>
      </c>
      <c r="D415" s="4" t="s">
        <v>32</v>
      </c>
      <c r="E415" s="4">
        <v>5</v>
      </c>
      <c r="F415" s="4">
        <v>37830</v>
      </c>
      <c r="G415" s="4">
        <v>189150</v>
      </c>
      <c r="H415" s="4">
        <v>31795</v>
      </c>
      <c r="I415" s="4"/>
      <c r="J415" s="4"/>
      <c r="K415" s="4"/>
      <c r="L415" s="6">
        <f t="shared" si="6"/>
        <v>5.949048592546</v>
      </c>
      <c r="M415" s="4"/>
    </row>
    <row r="416" spans="1:13">
      <c r="A416" s="3">
        <v>45715</v>
      </c>
      <c r="B416" s="4" t="s">
        <v>5</v>
      </c>
      <c r="C416" s="4" t="s">
        <v>24</v>
      </c>
      <c r="D416" s="4" t="s">
        <v>31</v>
      </c>
      <c r="E416" s="4">
        <v>10</v>
      </c>
      <c r="F416" s="4">
        <v>30990</v>
      </c>
      <c r="G416" s="4">
        <v>309900</v>
      </c>
      <c r="H416" s="4">
        <v>125498</v>
      </c>
      <c r="I416" s="4"/>
      <c r="J416" s="4"/>
      <c r="K416" s="4"/>
      <c r="L416" s="6">
        <f t="shared" si="6"/>
        <v>2.4693620615468</v>
      </c>
      <c r="M416" s="4"/>
    </row>
    <row r="417" spans="1:13">
      <c r="A417" s="3">
        <v>45735</v>
      </c>
      <c r="B417" s="4" t="s">
        <v>5</v>
      </c>
      <c r="C417" s="4" t="s">
        <v>24</v>
      </c>
      <c r="D417" s="4" t="s">
        <v>25</v>
      </c>
      <c r="E417" s="4">
        <v>7</v>
      </c>
      <c r="F417" s="4">
        <v>37276</v>
      </c>
      <c r="G417" s="4">
        <v>260932</v>
      </c>
      <c r="H417" s="4">
        <v>180999</v>
      </c>
      <c r="I417" s="4"/>
      <c r="J417" s="4"/>
      <c r="K417" s="4"/>
      <c r="L417" s="6">
        <f t="shared" si="6"/>
        <v>1.44162122442665</v>
      </c>
      <c r="M417" s="4"/>
    </row>
    <row r="418" spans="1:13">
      <c r="A418" s="3">
        <v>45731</v>
      </c>
      <c r="B418" s="4" t="s">
        <v>5</v>
      </c>
      <c r="C418" s="4" t="s">
        <v>24</v>
      </c>
      <c r="D418" s="4" t="s">
        <v>29</v>
      </c>
      <c r="E418" s="4">
        <v>5</v>
      </c>
      <c r="F418" s="4">
        <v>3614</v>
      </c>
      <c r="G418" s="4">
        <v>18070</v>
      </c>
      <c r="H418" s="4">
        <v>71148</v>
      </c>
      <c r="I418" s="4"/>
      <c r="J418" s="4"/>
      <c r="K418" s="4"/>
      <c r="L418" s="6">
        <f t="shared" si="6"/>
        <v>0.253977624107494</v>
      </c>
      <c r="M418" s="4"/>
    </row>
    <row r="419" spans="1:13">
      <c r="A419" s="3">
        <v>45673</v>
      </c>
      <c r="B419" s="4" t="s">
        <v>2</v>
      </c>
      <c r="C419" s="4" t="s">
        <v>26</v>
      </c>
      <c r="D419" s="4" t="s">
        <v>25</v>
      </c>
      <c r="E419" s="4">
        <v>2</v>
      </c>
      <c r="F419" s="4">
        <v>1787</v>
      </c>
      <c r="G419" s="4">
        <v>3574</v>
      </c>
      <c r="H419" s="4">
        <v>197185</v>
      </c>
      <c r="I419" s="4"/>
      <c r="J419" s="4"/>
      <c r="K419" s="4"/>
      <c r="L419" s="6">
        <f t="shared" si="6"/>
        <v>0.0181251109364303</v>
      </c>
      <c r="M419" s="4"/>
    </row>
    <row r="420" spans="1:13">
      <c r="A420" s="3">
        <v>45752</v>
      </c>
      <c r="B420" s="4" t="s">
        <v>5</v>
      </c>
      <c r="C420" s="4" t="s">
        <v>28</v>
      </c>
      <c r="D420" s="4" t="s">
        <v>25</v>
      </c>
      <c r="E420" s="4">
        <v>8</v>
      </c>
      <c r="F420" s="4">
        <v>43962</v>
      </c>
      <c r="G420" s="4">
        <v>351696</v>
      </c>
      <c r="H420" s="4">
        <v>120776</v>
      </c>
      <c r="I420" s="4"/>
      <c r="J420" s="4"/>
      <c r="K420" s="4"/>
      <c r="L420" s="6">
        <f t="shared" si="6"/>
        <v>2.91196926541697</v>
      </c>
      <c r="M420" s="4"/>
    </row>
    <row r="421" spans="1:13">
      <c r="A421" s="3">
        <v>45829</v>
      </c>
      <c r="B421" s="4" t="s">
        <v>2</v>
      </c>
      <c r="C421" s="4" t="s">
        <v>22</v>
      </c>
      <c r="D421" s="4" t="s">
        <v>25</v>
      </c>
      <c r="E421" s="4">
        <v>2</v>
      </c>
      <c r="F421" s="4">
        <v>19618</v>
      </c>
      <c r="G421" s="4">
        <v>39236</v>
      </c>
      <c r="H421" s="4">
        <v>183348</v>
      </c>
      <c r="I421" s="4"/>
      <c r="J421" s="4"/>
      <c r="K421" s="4"/>
      <c r="L421" s="6">
        <f t="shared" si="6"/>
        <v>0.213997425660493</v>
      </c>
      <c r="M421" s="4"/>
    </row>
    <row r="422" spans="1:13">
      <c r="A422" s="3">
        <v>45755</v>
      </c>
      <c r="B422" s="4" t="s">
        <v>3</v>
      </c>
      <c r="C422" s="4" t="s">
        <v>28</v>
      </c>
      <c r="D422" s="4" t="s">
        <v>25</v>
      </c>
      <c r="E422" s="4">
        <v>2</v>
      </c>
      <c r="F422" s="4">
        <v>38277</v>
      </c>
      <c r="G422" s="4">
        <v>76554</v>
      </c>
      <c r="H422" s="4">
        <v>182550</v>
      </c>
      <c r="I422" s="4"/>
      <c r="J422" s="4"/>
      <c r="K422" s="4"/>
      <c r="L422" s="6">
        <f t="shared" si="6"/>
        <v>0.419359079704191</v>
      </c>
      <c r="M422" s="4"/>
    </row>
    <row r="423" spans="1:13">
      <c r="A423" s="3">
        <v>45760</v>
      </c>
      <c r="B423" s="4" t="s">
        <v>2</v>
      </c>
      <c r="C423" s="4" t="s">
        <v>28</v>
      </c>
      <c r="D423" s="4" t="s">
        <v>32</v>
      </c>
      <c r="E423" s="4">
        <v>1</v>
      </c>
      <c r="F423" s="4">
        <v>3112</v>
      </c>
      <c r="G423" s="4">
        <v>3112</v>
      </c>
      <c r="H423" s="4">
        <v>62200</v>
      </c>
      <c r="I423" s="4"/>
      <c r="J423" s="4"/>
      <c r="K423" s="4"/>
      <c r="L423" s="6">
        <f t="shared" si="6"/>
        <v>0.050032154340836</v>
      </c>
      <c r="M423" s="4"/>
    </row>
    <row r="424" spans="1:13">
      <c r="A424" s="3">
        <v>45725</v>
      </c>
      <c r="B424" s="4" t="s">
        <v>6</v>
      </c>
      <c r="C424" s="4" t="s">
        <v>24</v>
      </c>
      <c r="D424" s="4" t="s">
        <v>33</v>
      </c>
      <c r="E424" s="4">
        <v>2</v>
      </c>
      <c r="F424" s="4">
        <v>30874</v>
      </c>
      <c r="G424" s="4">
        <v>61748</v>
      </c>
      <c r="H424" s="4">
        <v>137747</v>
      </c>
      <c r="I424" s="4"/>
      <c r="J424" s="4"/>
      <c r="K424" s="4"/>
      <c r="L424" s="6">
        <f t="shared" si="6"/>
        <v>0.448271105722811</v>
      </c>
      <c r="M424" s="4"/>
    </row>
    <row r="425" spans="1:13">
      <c r="A425" s="3">
        <v>45659</v>
      </c>
      <c r="B425" s="4" t="s">
        <v>4</v>
      </c>
      <c r="C425" s="4" t="s">
        <v>26</v>
      </c>
      <c r="D425" s="4" t="s">
        <v>32</v>
      </c>
      <c r="E425" s="4">
        <v>4</v>
      </c>
      <c r="F425" s="4">
        <v>47293</v>
      </c>
      <c r="G425" s="4">
        <v>189172</v>
      </c>
      <c r="H425" s="4">
        <v>48722</v>
      </c>
      <c r="I425" s="4"/>
      <c r="J425" s="4"/>
      <c r="K425" s="4"/>
      <c r="L425" s="6">
        <f t="shared" si="6"/>
        <v>3.88268133492057</v>
      </c>
      <c r="M425" s="4"/>
    </row>
    <row r="426" spans="1:13">
      <c r="A426" s="3">
        <v>45749</v>
      </c>
      <c r="B426" s="4" t="s">
        <v>3</v>
      </c>
      <c r="C426" s="4" t="s">
        <v>26</v>
      </c>
      <c r="D426" s="4" t="s">
        <v>33</v>
      </c>
      <c r="E426" s="4">
        <v>6</v>
      </c>
      <c r="F426" s="4">
        <v>10877</v>
      </c>
      <c r="G426" s="4">
        <v>65262</v>
      </c>
      <c r="H426" s="4">
        <v>7236</v>
      </c>
      <c r="I426" s="4"/>
      <c r="J426" s="4"/>
      <c r="K426" s="4"/>
      <c r="L426" s="6">
        <f t="shared" si="6"/>
        <v>9.01907131011609</v>
      </c>
      <c r="M426" s="4"/>
    </row>
    <row r="427" spans="1:13">
      <c r="A427" s="3">
        <v>45816</v>
      </c>
      <c r="B427" s="4" t="s">
        <v>2</v>
      </c>
      <c r="C427" s="4" t="s">
        <v>28</v>
      </c>
      <c r="D427" s="4" t="s">
        <v>33</v>
      </c>
      <c r="E427" s="4">
        <v>8</v>
      </c>
      <c r="F427" s="4">
        <v>30420</v>
      </c>
      <c r="G427" s="4">
        <v>243360</v>
      </c>
      <c r="H427" s="4">
        <v>186528</v>
      </c>
      <c r="I427" s="4"/>
      <c r="J427" s="4"/>
      <c r="K427" s="4"/>
      <c r="L427" s="6">
        <f t="shared" si="6"/>
        <v>1.30468347915594</v>
      </c>
      <c r="M427" s="4"/>
    </row>
    <row r="428" spans="1:13">
      <c r="A428" s="3">
        <v>45829</v>
      </c>
      <c r="B428" s="4" t="s">
        <v>4</v>
      </c>
      <c r="C428" s="4" t="s">
        <v>22</v>
      </c>
      <c r="D428" s="4" t="s">
        <v>23</v>
      </c>
      <c r="E428" s="4">
        <v>8</v>
      </c>
      <c r="F428" s="4">
        <v>13527</v>
      </c>
      <c r="G428" s="4">
        <v>108216</v>
      </c>
      <c r="H428" s="4">
        <v>153211</v>
      </c>
      <c r="I428" s="4"/>
      <c r="J428" s="4"/>
      <c r="K428" s="4"/>
      <c r="L428" s="6">
        <f t="shared" si="6"/>
        <v>0.706320042294613</v>
      </c>
      <c r="M428" s="4"/>
    </row>
    <row r="429" spans="1:13">
      <c r="A429" s="3">
        <v>45786</v>
      </c>
      <c r="B429" s="4" t="s">
        <v>7</v>
      </c>
      <c r="C429" s="4" t="s">
        <v>24</v>
      </c>
      <c r="D429" s="4" t="s">
        <v>30</v>
      </c>
      <c r="E429" s="4">
        <v>10</v>
      </c>
      <c r="F429" s="4">
        <v>15821</v>
      </c>
      <c r="G429" s="4">
        <v>158210</v>
      </c>
      <c r="H429" s="4">
        <v>72198</v>
      </c>
      <c r="I429" s="4"/>
      <c r="J429" s="4"/>
      <c r="K429" s="4"/>
      <c r="L429" s="6">
        <f t="shared" si="6"/>
        <v>2.19133494002604</v>
      </c>
      <c r="M429" s="4"/>
    </row>
    <row r="430" spans="1:13">
      <c r="A430" s="3">
        <v>45750</v>
      </c>
      <c r="B430" s="4" t="s">
        <v>8</v>
      </c>
      <c r="C430" s="4" t="s">
        <v>28</v>
      </c>
      <c r="D430" s="4" t="s">
        <v>30</v>
      </c>
      <c r="E430" s="4">
        <v>10</v>
      </c>
      <c r="F430" s="4">
        <v>34229</v>
      </c>
      <c r="G430" s="4">
        <v>342290</v>
      </c>
      <c r="H430" s="4">
        <v>152768</v>
      </c>
      <c r="I430" s="4"/>
      <c r="J430" s="4"/>
      <c r="K430" s="4"/>
      <c r="L430" s="6">
        <f t="shared" si="6"/>
        <v>2.24058703393381</v>
      </c>
      <c r="M430" s="4"/>
    </row>
    <row r="431" spans="1:13">
      <c r="A431" s="3">
        <v>45739</v>
      </c>
      <c r="B431" s="4" t="s">
        <v>7</v>
      </c>
      <c r="C431" s="4" t="s">
        <v>28</v>
      </c>
      <c r="D431" s="4" t="s">
        <v>33</v>
      </c>
      <c r="E431" s="4">
        <v>7</v>
      </c>
      <c r="F431" s="4">
        <v>31430</v>
      </c>
      <c r="G431" s="4">
        <v>220010</v>
      </c>
      <c r="H431" s="4">
        <v>134416</v>
      </c>
      <c r="I431" s="4"/>
      <c r="J431" s="4"/>
      <c r="K431" s="4"/>
      <c r="L431" s="6">
        <f t="shared" si="6"/>
        <v>1.6367843113915</v>
      </c>
      <c r="M431" s="4"/>
    </row>
    <row r="432" spans="1:13">
      <c r="A432" s="3">
        <v>45816</v>
      </c>
      <c r="B432" s="4" t="s">
        <v>3</v>
      </c>
      <c r="C432" s="4" t="s">
        <v>22</v>
      </c>
      <c r="D432" s="4" t="s">
        <v>29</v>
      </c>
      <c r="E432" s="4">
        <v>3</v>
      </c>
      <c r="F432" s="4">
        <v>21727</v>
      </c>
      <c r="G432" s="4">
        <v>65181</v>
      </c>
      <c r="H432" s="4">
        <v>2891</v>
      </c>
      <c r="I432" s="4"/>
      <c r="J432" s="4"/>
      <c r="K432" s="4"/>
      <c r="L432" s="6">
        <f t="shared" si="6"/>
        <v>22.5461777931512</v>
      </c>
      <c r="M432" s="4"/>
    </row>
    <row r="433" spans="1:13">
      <c r="A433" s="3">
        <v>45699</v>
      </c>
      <c r="B433" s="4" t="s">
        <v>5</v>
      </c>
      <c r="C433" s="4" t="s">
        <v>26</v>
      </c>
      <c r="D433" s="4" t="s">
        <v>31</v>
      </c>
      <c r="E433" s="4">
        <v>3</v>
      </c>
      <c r="F433" s="4">
        <v>29607</v>
      </c>
      <c r="G433" s="4">
        <v>88821</v>
      </c>
      <c r="H433" s="4">
        <v>158950</v>
      </c>
      <c r="I433" s="4"/>
      <c r="J433" s="4"/>
      <c r="K433" s="4"/>
      <c r="L433" s="6">
        <f t="shared" si="6"/>
        <v>0.558798364265492</v>
      </c>
      <c r="M433" s="4"/>
    </row>
    <row r="434" spans="1:13">
      <c r="A434" s="3">
        <v>45698</v>
      </c>
      <c r="B434" s="4" t="s">
        <v>8</v>
      </c>
      <c r="C434" s="4" t="s">
        <v>22</v>
      </c>
      <c r="D434" s="4" t="s">
        <v>31</v>
      </c>
      <c r="E434" s="4">
        <v>1</v>
      </c>
      <c r="F434" s="4">
        <v>644</v>
      </c>
      <c r="G434" s="4">
        <v>644</v>
      </c>
      <c r="H434" s="4">
        <v>146723</v>
      </c>
      <c r="I434" s="4"/>
      <c r="J434" s="4"/>
      <c r="K434" s="4"/>
      <c r="L434" s="6">
        <f t="shared" si="6"/>
        <v>0.00438922323016841</v>
      </c>
      <c r="M434" s="4"/>
    </row>
    <row r="435" spans="1:13">
      <c r="A435" s="3">
        <v>45662</v>
      </c>
      <c r="B435" s="4" t="s">
        <v>3</v>
      </c>
      <c r="C435" s="4" t="s">
        <v>24</v>
      </c>
      <c r="D435" s="4" t="s">
        <v>32</v>
      </c>
      <c r="E435" s="4">
        <v>4</v>
      </c>
      <c r="F435" s="4">
        <v>28064</v>
      </c>
      <c r="G435" s="4">
        <v>112256</v>
      </c>
      <c r="H435" s="4">
        <v>116065</v>
      </c>
      <c r="I435" s="4"/>
      <c r="J435" s="4"/>
      <c r="K435" s="4"/>
      <c r="L435" s="6">
        <f t="shared" si="6"/>
        <v>0.967182182397794</v>
      </c>
      <c r="M435" s="4"/>
    </row>
    <row r="436" spans="1:13">
      <c r="A436" s="3">
        <v>45675</v>
      </c>
      <c r="B436" s="4" t="s">
        <v>5</v>
      </c>
      <c r="C436" s="4" t="s">
        <v>28</v>
      </c>
      <c r="D436" s="4" t="s">
        <v>32</v>
      </c>
      <c r="E436" s="4">
        <v>1</v>
      </c>
      <c r="F436" s="4">
        <v>24725</v>
      </c>
      <c r="G436" s="4">
        <v>24725</v>
      </c>
      <c r="H436" s="4">
        <v>181395</v>
      </c>
      <c r="I436" s="4"/>
      <c r="J436" s="4"/>
      <c r="K436" s="4"/>
      <c r="L436" s="6">
        <f t="shared" si="6"/>
        <v>0.136304749304005</v>
      </c>
      <c r="M436" s="4"/>
    </row>
    <row r="437" spans="1:13">
      <c r="A437" s="3">
        <v>45710</v>
      </c>
      <c r="B437" s="4" t="s">
        <v>8</v>
      </c>
      <c r="C437" s="4" t="s">
        <v>26</v>
      </c>
      <c r="D437" s="4" t="s">
        <v>23</v>
      </c>
      <c r="E437" s="4">
        <v>2</v>
      </c>
      <c r="F437" s="4">
        <v>44693</v>
      </c>
      <c r="G437" s="4">
        <v>89386</v>
      </c>
      <c r="H437" s="4">
        <v>160974</v>
      </c>
      <c r="I437" s="4"/>
      <c r="J437" s="4"/>
      <c r="K437" s="4"/>
      <c r="L437" s="6">
        <f t="shared" si="6"/>
        <v>0.555282219488862</v>
      </c>
      <c r="M437" s="4"/>
    </row>
    <row r="438" spans="1:13">
      <c r="A438" s="3">
        <v>45833</v>
      </c>
      <c r="B438" s="4" t="s">
        <v>2</v>
      </c>
      <c r="C438" s="4" t="s">
        <v>26</v>
      </c>
      <c r="D438" s="4" t="s">
        <v>33</v>
      </c>
      <c r="E438" s="4">
        <v>2</v>
      </c>
      <c r="F438" s="4">
        <v>16245</v>
      </c>
      <c r="G438" s="4">
        <v>32490</v>
      </c>
      <c r="H438" s="4">
        <v>45211</v>
      </c>
      <c r="I438" s="4"/>
      <c r="J438" s="4"/>
      <c r="K438" s="4"/>
      <c r="L438" s="6">
        <f t="shared" si="6"/>
        <v>0.718630421800004</v>
      </c>
      <c r="M438" s="4"/>
    </row>
    <row r="439" spans="1:13">
      <c r="A439" s="3">
        <v>45820</v>
      </c>
      <c r="B439" s="4" t="s">
        <v>7</v>
      </c>
      <c r="C439" s="4" t="s">
        <v>28</v>
      </c>
      <c r="D439" s="4" t="s">
        <v>31</v>
      </c>
      <c r="E439" s="4">
        <v>7</v>
      </c>
      <c r="F439" s="4">
        <v>44286</v>
      </c>
      <c r="G439" s="4">
        <v>310002</v>
      </c>
      <c r="H439" s="4">
        <v>53103</v>
      </c>
      <c r="I439" s="4"/>
      <c r="J439" s="4"/>
      <c r="K439" s="4"/>
      <c r="L439" s="6">
        <f t="shared" si="6"/>
        <v>5.83774927970171</v>
      </c>
      <c r="M439" s="4"/>
    </row>
    <row r="440" spans="1:13">
      <c r="A440" s="3">
        <v>45688</v>
      </c>
      <c r="B440" s="4" t="s">
        <v>4</v>
      </c>
      <c r="C440" s="4" t="s">
        <v>26</v>
      </c>
      <c r="D440" s="4" t="s">
        <v>32</v>
      </c>
      <c r="E440" s="4">
        <v>10</v>
      </c>
      <c r="F440" s="4">
        <v>11716</v>
      </c>
      <c r="G440" s="4">
        <v>117160</v>
      </c>
      <c r="H440" s="4">
        <v>12522</v>
      </c>
      <c r="I440" s="4"/>
      <c r="J440" s="4"/>
      <c r="K440" s="4"/>
      <c r="L440" s="6">
        <f t="shared" si="6"/>
        <v>9.35633285417665</v>
      </c>
      <c r="M440" s="4"/>
    </row>
    <row r="441" spans="1:13">
      <c r="A441" s="3">
        <v>45707</v>
      </c>
      <c r="B441" s="4" t="s">
        <v>7</v>
      </c>
      <c r="C441" s="4" t="s">
        <v>26</v>
      </c>
      <c r="D441" s="4" t="s">
        <v>31</v>
      </c>
      <c r="E441" s="4">
        <v>9</v>
      </c>
      <c r="F441" s="4">
        <v>23027</v>
      </c>
      <c r="G441" s="4">
        <v>207243</v>
      </c>
      <c r="H441" s="4">
        <v>190858</v>
      </c>
      <c r="I441" s="4"/>
      <c r="J441" s="4"/>
      <c r="K441" s="4"/>
      <c r="L441" s="6">
        <f t="shared" si="6"/>
        <v>1.08584916534806</v>
      </c>
      <c r="M441" s="4"/>
    </row>
    <row r="442" spans="1:13">
      <c r="A442" s="3">
        <v>45814</v>
      </c>
      <c r="B442" s="4" t="s">
        <v>5</v>
      </c>
      <c r="C442" s="4" t="s">
        <v>28</v>
      </c>
      <c r="D442" s="4" t="s">
        <v>29</v>
      </c>
      <c r="E442" s="4">
        <v>8</v>
      </c>
      <c r="F442" s="4">
        <v>34403</v>
      </c>
      <c r="G442" s="4">
        <v>275224</v>
      </c>
      <c r="H442" s="4">
        <v>68205</v>
      </c>
      <c r="I442" s="4"/>
      <c r="J442" s="4"/>
      <c r="K442" s="4"/>
      <c r="L442" s="6">
        <f t="shared" si="6"/>
        <v>4.03524668279452</v>
      </c>
      <c r="M442" s="4"/>
    </row>
    <row r="443" spans="1:13">
      <c r="A443" s="3">
        <v>45824</v>
      </c>
      <c r="B443" s="4" t="s">
        <v>6</v>
      </c>
      <c r="C443" s="4" t="s">
        <v>28</v>
      </c>
      <c r="D443" s="4" t="s">
        <v>29</v>
      </c>
      <c r="E443" s="4">
        <v>6</v>
      </c>
      <c r="F443" s="4">
        <v>9157</v>
      </c>
      <c r="G443" s="4">
        <v>54942</v>
      </c>
      <c r="H443" s="4">
        <v>183798</v>
      </c>
      <c r="I443" s="4"/>
      <c r="J443" s="4"/>
      <c r="K443" s="4"/>
      <c r="L443" s="6">
        <f t="shared" si="6"/>
        <v>0.298925994842164</v>
      </c>
      <c r="M443" s="4"/>
    </row>
    <row r="444" spans="1:13">
      <c r="A444" s="3">
        <v>45742</v>
      </c>
      <c r="B444" s="4" t="s">
        <v>3</v>
      </c>
      <c r="C444" s="4" t="s">
        <v>24</v>
      </c>
      <c r="D444" s="4" t="s">
        <v>29</v>
      </c>
      <c r="E444" s="4">
        <v>6</v>
      </c>
      <c r="F444" s="4">
        <v>9445</v>
      </c>
      <c r="G444" s="4">
        <v>56670</v>
      </c>
      <c r="H444" s="4">
        <v>10860</v>
      </c>
      <c r="I444" s="4"/>
      <c r="J444" s="4"/>
      <c r="K444" s="4"/>
      <c r="L444" s="6">
        <f t="shared" si="6"/>
        <v>5.21823204419889</v>
      </c>
      <c r="M444" s="4"/>
    </row>
    <row r="445" spans="1:13">
      <c r="A445" s="3">
        <v>45820</v>
      </c>
      <c r="B445" s="4" t="s">
        <v>5</v>
      </c>
      <c r="C445" s="4" t="s">
        <v>24</v>
      </c>
      <c r="D445" s="4" t="s">
        <v>23</v>
      </c>
      <c r="E445" s="4">
        <v>7</v>
      </c>
      <c r="F445" s="4">
        <v>34382</v>
      </c>
      <c r="G445" s="4">
        <v>240674</v>
      </c>
      <c r="H445" s="4">
        <v>187135</v>
      </c>
      <c r="I445" s="4"/>
      <c r="J445" s="4"/>
      <c r="K445" s="4"/>
      <c r="L445" s="6">
        <f t="shared" si="6"/>
        <v>1.28609827130147</v>
      </c>
      <c r="M445" s="4"/>
    </row>
    <row r="446" spans="1:13">
      <c r="A446" s="3">
        <v>45754</v>
      </c>
      <c r="B446" s="4" t="s">
        <v>3</v>
      </c>
      <c r="C446" s="4" t="s">
        <v>22</v>
      </c>
      <c r="D446" s="4" t="s">
        <v>23</v>
      </c>
      <c r="E446" s="4">
        <v>9</v>
      </c>
      <c r="F446" s="4">
        <v>18084</v>
      </c>
      <c r="G446" s="4">
        <v>162756</v>
      </c>
      <c r="H446" s="4">
        <v>35224</v>
      </c>
      <c r="I446" s="4"/>
      <c r="J446" s="4"/>
      <c r="K446" s="4"/>
      <c r="L446" s="6">
        <f t="shared" si="6"/>
        <v>4.62059959118783</v>
      </c>
      <c r="M446" s="4"/>
    </row>
    <row r="447" spans="1:13">
      <c r="A447" s="3">
        <v>45837</v>
      </c>
      <c r="B447" s="4" t="s">
        <v>2</v>
      </c>
      <c r="C447" s="4" t="s">
        <v>26</v>
      </c>
      <c r="D447" s="4" t="s">
        <v>29</v>
      </c>
      <c r="E447" s="4">
        <v>2</v>
      </c>
      <c r="F447" s="4">
        <v>6705</v>
      </c>
      <c r="G447" s="4">
        <v>13410</v>
      </c>
      <c r="H447" s="4">
        <v>30536</v>
      </c>
      <c r="I447" s="4"/>
      <c r="J447" s="4"/>
      <c r="K447" s="4"/>
      <c r="L447" s="6">
        <f t="shared" si="6"/>
        <v>0.439153785695572</v>
      </c>
      <c r="M447" s="4"/>
    </row>
    <row r="448" spans="1:13">
      <c r="A448" s="3">
        <v>45837</v>
      </c>
      <c r="B448" s="4" t="s">
        <v>6</v>
      </c>
      <c r="C448" s="4" t="s">
        <v>28</v>
      </c>
      <c r="D448" s="4" t="s">
        <v>27</v>
      </c>
      <c r="E448" s="4">
        <v>3</v>
      </c>
      <c r="F448" s="4">
        <v>45185</v>
      </c>
      <c r="G448" s="4">
        <v>135555</v>
      </c>
      <c r="H448" s="4">
        <v>187399</v>
      </c>
      <c r="I448" s="4"/>
      <c r="J448" s="4"/>
      <c r="K448" s="4"/>
      <c r="L448" s="6">
        <f t="shared" si="6"/>
        <v>0.723349644341752</v>
      </c>
      <c r="M448" s="4"/>
    </row>
    <row r="449" spans="1:13">
      <c r="A449" s="3">
        <v>45779</v>
      </c>
      <c r="B449" s="4" t="s">
        <v>7</v>
      </c>
      <c r="C449" s="4" t="s">
        <v>22</v>
      </c>
      <c r="D449" s="4" t="s">
        <v>31</v>
      </c>
      <c r="E449" s="4">
        <v>2</v>
      </c>
      <c r="F449" s="4">
        <v>7759</v>
      </c>
      <c r="G449" s="4">
        <v>15518</v>
      </c>
      <c r="H449" s="4">
        <v>93200</v>
      </c>
      <c r="I449" s="4"/>
      <c r="J449" s="4"/>
      <c r="K449" s="4"/>
      <c r="L449" s="6">
        <f t="shared" si="6"/>
        <v>0.166502145922747</v>
      </c>
      <c r="M449" s="4"/>
    </row>
    <row r="450" spans="1:13">
      <c r="A450" s="3">
        <v>45786</v>
      </c>
      <c r="B450" s="4" t="s">
        <v>3</v>
      </c>
      <c r="C450" s="4" t="s">
        <v>24</v>
      </c>
      <c r="D450" s="4" t="s">
        <v>25</v>
      </c>
      <c r="E450" s="4">
        <v>8</v>
      </c>
      <c r="F450" s="4">
        <v>46762</v>
      </c>
      <c r="G450" s="4">
        <v>374096</v>
      </c>
      <c r="H450" s="4">
        <v>70593</v>
      </c>
      <c r="I450" s="4"/>
      <c r="J450" s="4"/>
      <c r="K450" s="4"/>
      <c r="L450" s="6">
        <f t="shared" si="6"/>
        <v>5.29933562817843</v>
      </c>
      <c r="M450" s="4"/>
    </row>
    <row r="451" spans="1:13">
      <c r="A451" s="3">
        <v>45729</v>
      </c>
      <c r="B451" s="4" t="s">
        <v>4</v>
      </c>
      <c r="C451" s="4" t="s">
        <v>22</v>
      </c>
      <c r="D451" s="4" t="s">
        <v>31</v>
      </c>
      <c r="E451" s="4">
        <v>5</v>
      </c>
      <c r="F451" s="4">
        <v>42323</v>
      </c>
      <c r="G451" s="4">
        <v>211615</v>
      </c>
      <c r="H451" s="4">
        <v>45351</v>
      </c>
      <c r="I451" s="4"/>
      <c r="J451" s="4"/>
      <c r="K451" s="4"/>
      <c r="L451" s="6">
        <f t="shared" ref="L451:L514" si="7">G451/H451</f>
        <v>4.66615951136689</v>
      </c>
      <c r="M451" s="4"/>
    </row>
    <row r="452" spans="1:13">
      <c r="A452" s="3">
        <v>45693</v>
      </c>
      <c r="B452" s="4" t="s">
        <v>7</v>
      </c>
      <c r="C452" s="4" t="s">
        <v>22</v>
      </c>
      <c r="D452" s="4" t="s">
        <v>32</v>
      </c>
      <c r="E452" s="4">
        <v>2</v>
      </c>
      <c r="F452" s="4">
        <v>42917</v>
      </c>
      <c r="G452" s="4">
        <v>85834</v>
      </c>
      <c r="H452" s="4">
        <v>45708</v>
      </c>
      <c r="I452" s="4"/>
      <c r="J452" s="4"/>
      <c r="K452" s="4"/>
      <c r="L452" s="6">
        <f t="shared" si="7"/>
        <v>1.87787695808174</v>
      </c>
      <c r="M452" s="4"/>
    </row>
    <row r="453" spans="1:13">
      <c r="A453" s="3">
        <v>45778</v>
      </c>
      <c r="B453" s="4" t="s">
        <v>4</v>
      </c>
      <c r="C453" s="4" t="s">
        <v>28</v>
      </c>
      <c r="D453" s="4" t="s">
        <v>33</v>
      </c>
      <c r="E453" s="4">
        <v>5</v>
      </c>
      <c r="F453" s="4">
        <v>22712</v>
      </c>
      <c r="G453" s="4">
        <v>113560</v>
      </c>
      <c r="H453" s="4">
        <v>190408</v>
      </c>
      <c r="I453" s="4"/>
      <c r="J453" s="4"/>
      <c r="K453" s="4"/>
      <c r="L453" s="6">
        <f t="shared" si="7"/>
        <v>0.59640351245746</v>
      </c>
      <c r="M453" s="4"/>
    </row>
    <row r="454" spans="1:13">
      <c r="A454" s="3">
        <v>45659</v>
      </c>
      <c r="B454" s="4" t="s">
        <v>8</v>
      </c>
      <c r="C454" s="4" t="s">
        <v>26</v>
      </c>
      <c r="D454" s="4" t="s">
        <v>27</v>
      </c>
      <c r="E454" s="4">
        <v>4</v>
      </c>
      <c r="F454" s="4">
        <v>34333</v>
      </c>
      <c r="G454" s="4">
        <v>137332</v>
      </c>
      <c r="H454" s="4">
        <v>60929</v>
      </c>
      <c r="I454" s="4"/>
      <c r="J454" s="4"/>
      <c r="K454" s="4"/>
      <c r="L454" s="6">
        <f t="shared" si="7"/>
        <v>2.25396773293506</v>
      </c>
      <c r="M454" s="4"/>
    </row>
    <row r="455" spans="1:13">
      <c r="A455" s="3">
        <v>45809</v>
      </c>
      <c r="B455" s="4" t="s">
        <v>6</v>
      </c>
      <c r="C455" s="4" t="s">
        <v>22</v>
      </c>
      <c r="D455" s="4" t="s">
        <v>25</v>
      </c>
      <c r="E455" s="4">
        <v>8</v>
      </c>
      <c r="F455" s="4">
        <v>1166</v>
      </c>
      <c r="G455" s="4">
        <v>9328</v>
      </c>
      <c r="H455" s="4">
        <v>65865</v>
      </c>
      <c r="I455" s="4"/>
      <c r="J455" s="4"/>
      <c r="K455" s="4"/>
      <c r="L455" s="6">
        <f t="shared" si="7"/>
        <v>0.14162301677674</v>
      </c>
      <c r="M455" s="4"/>
    </row>
    <row r="456" spans="1:13">
      <c r="A456" s="3">
        <v>45765</v>
      </c>
      <c r="B456" s="4" t="s">
        <v>7</v>
      </c>
      <c r="C456" s="4" t="s">
        <v>22</v>
      </c>
      <c r="D456" s="4" t="s">
        <v>33</v>
      </c>
      <c r="E456" s="4">
        <v>2</v>
      </c>
      <c r="F456" s="4">
        <v>34056</v>
      </c>
      <c r="G456" s="4">
        <v>68112</v>
      </c>
      <c r="H456" s="4">
        <v>97353</v>
      </c>
      <c r="I456" s="4"/>
      <c r="J456" s="4"/>
      <c r="K456" s="4"/>
      <c r="L456" s="6">
        <f t="shared" si="7"/>
        <v>0.699639456411205</v>
      </c>
      <c r="M456" s="4"/>
    </row>
    <row r="457" spans="1:13">
      <c r="A457" s="3">
        <v>45731</v>
      </c>
      <c r="B457" s="4" t="s">
        <v>4</v>
      </c>
      <c r="C457" s="4" t="s">
        <v>28</v>
      </c>
      <c r="D457" s="4" t="s">
        <v>33</v>
      </c>
      <c r="E457" s="4">
        <v>3</v>
      </c>
      <c r="F457" s="4">
        <v>2768</v>
      </c>
      <c r="G457" s="4">
        <v>8304</v>
      </c>
      <c r="H457" s="4">
        <v>111146</v>
      </c>
      <c r="I457" s="4"/>
      <c r="J457" s="4"/>
      <c r="K457" s="4"/>
      <c r="L457" s="6">
        <f t="shared" si="7"/>
        <v>0.0747125402623576</v>
      </c>
      <c r="M457" s="4"/>
    </row>
    <row r="458" spans="1:13">
      <c r="A458" s="3">
        <v>45718</v>
      </c>
      <c r="B458" s="4" t="s">
        <v>3</v>
      </c>
      <c r="C458" s="4" t="s">
        <v>22</v>
      </c>
      <c r="D458" s="4" t="s">
        <v>30</v>
      </c>
      <c r="E458" s="4">
        <v>8</v>
      </c>
      <c r="F458" s="4">
        <v>18264</v>
      </c>
      <c r="G458" s="4">
        <v>146112</v>
      </c>
      <c r="H458" s="4">
        <v>119318</v>
      </c>
      <c r="I458" s="4"/>
      <c r="J458" s="4"/>
      <c r="K458" s="4"/>
      <c r="L458" s="6">
        <f t="shared" si="7"/>
        <v>1.22455958028127</v>
      </c>
      <c r="M458" s="4"/>
    </row>
    <row r="459" spans="1:13">
      <c r="A459" s="3">
        <v>45668</v>
      </c>
      <c r="B459" s="4" t="s">
        <v>6</v>
      </c>
      <c r="C459" s="4" t="s">
        <v>28</v>
      </c>
      <c r="D459" s="4" t="s">
        <v>25</v>
      </c>
      <c r="E459" s="4">
        <v>2</v>
      </c>
      <c r="F459" s="4">
        <v>685</v>
      </c>
      <c r="G459" s="4">
        <v>1370</v>
      </c>
      <c r="H459" s="4">
        <v>76726</v>
      </c>
      <c r="I459" s="4"/>
      <c r="J459" s="4"/>
      <c r="K459" s="4"/>
      <c r="L459" s="6">
        <f t="shared" si="7"/>
        <v>0.017855746422334</v>
      </c>
      <c r="M459" s="4"/>
    </row>
    <row r="460" spans="1:13">
      <c r="A460" s="3">
        <v>45838</v>
      </c>
      <c r="B460" s="4" t="s">
        <v>7</v>
      </c>
      <c r="C460" s="4" t="s">
        <v>26</v>
      </c>
      <c r="D460" s="4" t="s">
        <v>29</v>
      </c>
      <c r="E460" s="4">
        <v>3</v>
      </c>
      <c r="F460" s="4">
        <v>2591</v>
      </c>
      <c r="G460" s="4">
        <v>7773</v>
      </c>
      <c r="H460" s="4">
        <v>91798</v>
      </c>
      <c r="I460" s="4"/>
      <c r="J460" s="4"/>
      <c r="K460" s="4"/>
      <c r="L460" s="6">
        <f t="shared" si="7"/>
        <v>0.0846750473866533</v>
      </c>
      <c r="M460" s="4"/>
    </row>
    <row r="461" spans="1:13">
      <c r="A461" s="3">
        <v>45748</v>
      </c>
      <c r="B461" s="4" t="s">
        <v>5</v>
      </c>
      <c r="C461" s="4" t="s">
        <v>24</v>
      </c>
      <c r="D461" s="4" t="s">
        <v>25</v>
      </c>
      <c r="E461" s="4">
        <v>9</v>
      </c>
      <c r="F461" s="4">
        <v>13193</v>
      </c>
      <c r="G461" s="4">
        <v>118737</v>
      </c>
      <c r="H461" s="4">
        <v>157635</v>
      </c>
      <c r="I461" s="4"/>
      <c r="J461" s="4"/>
      <c r="K461" s="4"/>
      <c r="L461" s="6">
        <f t="shared" si="7"/>
        <v>0.753240079931487</v>
      </c>
      <c r="M461" s="4"/>
    </row>
    <row r="462" spans="1:13">
      <c r="A462" s="3">
        <v>45679</v>
      </c>
      <c r="B462" s="4" t="s">
        <v>5</v>
      </c>
      <c r="C462" s="4" t="s">
        <v>22</v>
      </c>
      <c r="D462" s="4" t="s">
        <v>31</v>
      </c>
      <c r="E462" s="4">
        <v>2</v>
      </c>
      <c r="F462" s="4">
        <v>23525</v>
      </c>
      <c r="G462" s="4">
        <v>47050</v>
      </c>
      <c r="H462" s="4">
        <v>86619</v>
      </c>
      <c r="I462" s="4"/>
      <c r="J462" s="4"/>
      <c r="K462" s="4"/>
      <c r="L462" s="6">
        <f t="shared" si="7"/>
        <v>0.543183366236045</v>
      </c>
      <c r="M462" s="4"/>
    </row>
    <row r="463" spans="1:13">
      <c r="A463" s="3">
        <v>45748</v>
      </c>
      <c r="B463" s="4" t="s">
        <v>3</v>
      </c>
      <c r="C463" s="4" t="s">
        <v>24</v>
      </c>
      <c r="D463" s="4" t="s">
        <v>25</v>
      </c>
      <c r="E463" s="4">
        <v>3</v>
      </c>
      <c r="F463" s="4">
        <v>25512</v>
      </c>
      <c r="G463" s="4">
        <v>76536</v>
      </c>
      <c r="H463" s="4">
        <v>112690</v>
      </c>
      <c r="I463" s="4"/>
      <c r="J463" s="4"/>
      <c r="K463" s="4"/>
      <c r="L463" s="6">
        <f t="shared" si="7"/>
        <v>0.679172952347147</v>
      </c>
      <c r="M463" s="4"/>
    </row>
    <row r="464" spans="1:13">
      <c r="A464" s="3">
        <v>45787</v>
      </c>
      <c r="B464" s="4" t="s">
        <v>5</v>
      </c>
      <c r="C464" s="4" t="s">
        <v>26</v>
      </c>
      <c r="D464" s="4" t="s">
        <v>29</v>
      </c>
      <c r="E464" s="4">
        <v>9</v>
      </c>
      <c r="F464" s="4">
        <v>8108</v>
      </c>
      <c r="G464" s="4">
        <v>72972</v>
      </c>
      <c r="H464" s="4">
        <v>49293</v>
      </c>
      <c r="I464" s="4"/>
      <c r="J464" s="4"/>
      <c r="K464" s="4"/>
      <c r="L464" s="6">
        <f t="shared" si="7"/>
        <v>1.48037246667884</v>
      </c>
      <c r="M464" s="4"/>
    </row>
    <row r="465" spans="1:13">
      <c r="A465" s="3">
        <v>45837</v>
      </c>
      <c r="B465" s="4" t="s">
        <v>7</v>
      </c>
      <c r="C465" s="4" t="s">
        <v>26</v>
      </c>
      <c r="D465" s="4" t="s">
        <v>29</v>
      </c>
      <c r="E465" s="4">
        <v>5</v>
      </c>
      <c r="F465" s="4">
        <v>35537</v>
      </c>
      <c r="G465" s="4">
        <v>177685</v>
      </c>
      <c r="H465" s="4">
        <v>156841</v>
      </c>
      <c r="I465" s="4"/>
      <c r="J465" s="4"/>
      <c r="K465" s="4"/>
      <c r="L465" s="6">
        <f t="shared" si="7"/>
        <v>1.13289892311322</v>
      </c>
      <c r="M465" s="4"/>
    </row>
    <row r="466" spans="1:13">
      <c r="A466" s="3">
        <v>45778</v>
      </c>
      <c r="B466" s="4" t="s">
        <v>4</v>
      </c>
      <c r="C466" s="4" t="s">
        <v>24</v>
      </c>
      <c r="D466" s="4" t="s">
        <v>27</v>
      </c>
      <c r="E466" s="4">
        <v>7</v>
      </c>
      <c r="F466" s="4">
        <v>42441</v>
      </c>
      <c r="G466" s="4">
        <v>297087</v>
      </c>
      <c r="H466" s="4">
        <v>21585</v>
      </c>
      <c r="I466" s="4"/>
      <c r="J466" s="4"/>
      <c r="K466" s="4"/>
      <c r="L466" s="6">
        <f t="shared" si="7"/>
        <v>13.7635858234885</v>
      </c>
      <c r="M466" s="4"/>
    </row>
    <row r="467" spans="1:13">
      <c r="A467" s="3">
        <v>45674</v>
      </c>
      <c r="B467" s="4" t="s">
        <v>2</v>
      </c>
      <c r="C467" s="4" t="s">
        <v>28</v>
      </c>
      <c r="D467" s="4" t="s">
        <v>31</v>
      </c>
      <c r="E467" s="4">
        <v>5</v>
      </c>
      <c r="F467" s="4">
        <v>13342</v>
      </c>
      <c r="G467" s="4">
        <v>66710</v>
      </c>
      <c r="H467" s="4">
        <v>161553</v>
      </c>
      <c r="I467" s="4"/>
      <c r="J467" s="4"/>
      <c r="K467" s="4"/>
      <c r="L467" s="6">
        <f t="shared" si="7"/>
        <v>0.412929503011396</v>
      </c>
      <c r="M467" s="4"/>
    </row>
    <row r="468" spans="1:13">
      <c r="A468" s="3">
        <v>45821</v>
      </c>
      <c r="B468" s="4" t="s">
        <v>4</v>
      </c>
      <c r="C468" s="4" t="s">
        <v>26</v>
      </c>
      <c r="D468" s="4" t="s">
        <v>27</v>
      </c>
      <c r="E468" s="4">
        <v>1</v>
      </c>
      <c r="F468" s="4">
        <v>41298</v>
      </c>
      <c r="G468" s="4">
        <v>41298</v>
      </c>
      <c r="H468" s="4">
        <v>6304</v>
      </c>
      <c r="I468" s="4"/>
      <c r="J468" s="4"/>
      <c r="K468" s="4"/>
      <c r="L468" s="6">
        <f t="shared" si="7"/>
        <v>6.55107868020305</v>
      </c>
      <c r="M468" s="4"/>
    </row>
    <row r="469" spans="1:13">
      <c r="A469" s="3">
        <v>45706</v>
      </c>
      <c r="B469" s="4" t="s">
        <v>4</v>
      </c>
      <c r="C469" s="4" t="s">
        <v>28</v>
      </c>
      <c r="D469" s="4" t="s">
        <v>32</v>
      </c>
      <c r="E469" s="4">
        <v>8</v>
      </c>
      <c r="F469" s="4">
        <v>44555</v>
      </c>
      <c r="G469" s="4">
        <v>356440</v>
      </c>
      <c r="H469" s="4">
        <v>134953</v>
      </c>
      <c r="I469" s="4"/>
      <c r="J469" s="4"/>
      <c r="K469" s="4"/>
      <c r="L469" s="6">
        <f t="shared" si="7"/>
        <v>2.64121583069661</v>
      </c>
      <c r="M469" s="4"/>
    </row>
    <row r="470" spans="1:13">
      <c r="A470" s="3">
        <v>45815</v>
      </c>
      <c r="B470" s="4" t="s">
        <v>7</v>
      </c>
      <c r="C470" s="4" t="s">
        <v>24</v>
      </c>
      <c r="D470" s="4" t="s">
        <v>29</v>
      </c>
      <c r="E470" s="4">
        <v>10</v>
      </c>
      <c r="F470" s="4">
        <v>26064</v>
      </c>
      <c r="G470" s="4">
        <v>260640</v>
      </c>
      <c r="H470" s="4">
        <v>46940</v>
      </c>
      <c r="I470" s="4"/>
      <c r="J470" s="4"/>
      <c r="K470" s="4"/>
      <c r="L470" s="6">
        <f t="shared" si="7"/>
        <v>5.55262036642522</v>
      </c>
      <c r="M470" s="4"/>
    </row>
    <row r="471" spans="1:13">
      <c r="A471" s="3">
        <v>45818</v>
      </c>
      <c r="B471" s="4" t="s">
        <v>6</v>
      </c>
      <c r="C471" s="4" t="s">
        <v>22</v>
      </c>
      <c r="D471" s="4" t="s">
        <v>33</v>
      </c>
      <c r="E471" s="4">
        <v>2</v>
      </c>
      <c r="F471" s="4">
        <v>44604</v>
      </c>
      <c r="G471" s="4">
        <v>89208</v>
      </c>
      <c r="H471" s="4">
        <v>52322</v>
      </c>
      <c r="I471" s="4"/>
      <c r="J471" s="4"/>
      <c r="K471" s="4"/>
      <c r="L471" s="6">
        <f t="shared" si="7"/>
        <v>1.70498069645656</v>
      </c>
      <c r="M471" s="4"/>
    </row>
    <row r="472" spans="1:13">
      <c r="A472" s="3">
        <v>45720</v>
      </c>
      <c r="B472" s="4" t="s">
        <v>7</v>
      </c>
      <c r="C472" s="4" t="s">
        <v>28</v>
      </c>
      <c r="D472" s="4" t="s">
        <v>30</v>
      </c>
      <c r="E472" s="4">
        <v>9</v>
      </c>
      <c r="F472" s="4">
        <v>38886</v>
      </c>
      <c r="G472" s="4">
        <v>349974</v>
      </c>
      <c r="H472" s="4">
        <v>144146</v>
      </c>
      <c r="I472" s="4"/>
      <c r="J472" s="4"/>
      <c r="K472" s="4"/>
      <c r="L472" s="6">
        <f t="shared" si="7"/>
        <v>2.42791336561542</v>
      </c>
      <c r="M472" s="4"/>
    </row>
    <row r="473" spans="1:13">
      <c r="A473" s="3">
        <v>45682</v>
      </c>
      <c r="B473" s="4" t="s">
        <v>2</v>
      </c>
      <c r="C473" s="4" t="s">
        <v>22</v>
      </c>
      <c r="D473" s="4" t="s">
        <v>29</v>
      </c>
      <c r="E473" s="4">
        <v>3</v>
      </c>
      <c r="F473" s="4">
        <v>18890</v>
      </c>
      <c r="G473" s="4">
        <v>56670</v>
      </c>
      <c r="H473" s="4">
        <v>191560</v>
      </c>
      <c r="I473" s="4"/>
      <c r="J473" s="4"/>
      <c r="K473" s="4"/>
      <c r="L473" s="6">
        <f t="shared" si="7"/>
        <v>0.295834203382752</v>
      </c>
      <c r="M473" s="4"/>
    </row>
    <row r="474" spans="1:13">
      <c r="A474" s="3">
        <v>45805</v>
      </c>
      <c r="B474" s="4" t="s">
        <v>5</v>
      </c>
      <c r="C474" s="4" t="s">
        <v>28</v>
      </c>
      <c r="D474" s="4" t="s">
        <v>29</v>
      </c>
      <c r="E474" s="4">
        <v>2</v>
      </c>
      <c r="F474" s="4">
        <v>4506</v>
      </c>
      <c r="G474" s="4">
        <v>9012</v>
      </c>
      <c r="H474" s="4">
        <v>18745</v>
      </c>
      <c r="I474" s="4"/>
      <c r="J474" s="4"/>
      <c r="K474" s="4"/>
      <c r="L474" s="6">
        <f t="shared" si="7"/>
        <v>0.480768204854628</v>
      </c>
      <c r="M474" s="4"/>
    </row>
    <row r="475" spans="1:13">
      <c r="A475" s="3">
        <v>45802</v>
      </c>
      <c r="B475" s="4" t="s">
        <v>6</v>
      </c>
      <c r="C475" s="4" t="s">
        <v>28</v>
      </c>
      <c r="D475" s="4" t="s">
        <v>32</v>
      </c>
      <c r="E475" s="4">
        <v>1</v>
      </c>
      <c r="F475" s="4">
        <v>31371</v>
      </c>
      <c r="G475" s="4">
        <v>31371</v>
      </c>
      <c r="H475" s="4">
        <v>133575</v>
      </c>
      <c r="I475" s="4"/>
      <c r="J475" s="4"/>
      <c r="K475" s="4"/>
      <c r="L475" s="6">
        <f t="shared" si="7"/>
        <v>0.234856822010107</v>
      </c>
      <c r="M475" s="4"/>
    </row>
    <row r="476" spans="1:13">
      <c r="A476" s="3">
        <v>45762</v>
      </c>
      <c r="B476" s="4" t="s">
        <v>3</v>
      </c>
      <c r="C476" s="4" t="s">
        <v>26</v>
      </c>
      <c r="D476" s="4" t="s">
        <v>25</v>
      </c>
      <c r="E476" s="4">
        <v>4</v>
      </c>
      <c r="F476" s="4">
        <v>14521</v>
      </c>
      <c r="G476" s="4">
        <v>58084</v>
      </c>
      <c r="H476" s="4">
        <v>148038</v>
      </c>
      <c r="I476" s="4"/>
      <c r="J476" s="4"/>
      <c r="K476" s="4"/>
      <c r="L476" s="6">
        <f t="shared" si="7"/>
        <v>0.392358718707359</v>
      </c>
      <c r="M476" s="4"/>
    </row>
    <row r="477" spans="1:13">
      <c r="A477" s="3">
        <v>45751</v>
      </c>
      <c r="B477" s="4" t="s">
        <v>2</v>
      </c>
      <c r="C477" s="4" t="s">
        <v>26</v>
      </c>
      <c r="D477" s="4" t="s">
        <v>33</v>
      </c>
      <c r="E477" s="4">
        <v>9</v>
      </c>
      <c r="F477" s="4">
        <v>16715</v>
      </c>
      <c r="G477" s="4">
        <v>150435</v>
      </c>
      <c r="H477" s="4">
        <v>195283</v>
      </c>
      <c r="I477" s="4"/>
      <c r="J477" s="4"/>
      <c r="K477" s="4"/>
      <c r="L477" s="6">
        <f t="shared" si="7"/>
        <v>0.770343552690198</v>
      </c>
      <c r="M477" s="4"/>
    </row>
    <row r="478" spans="1:13">
      <c r="A478" s="3">
        <v>45721</v>
      </c>
      <c r="B478" s="4" t="s">
        <v>8</v>
      </c>
      <c r="C478" s="4" t="s">
        <v>22</v>
      </c>
      <c r="D478" s="4" t="s">
        <v>30</v>
      </c>
      <c r="E478" s="4">
        <v>6</v>
      </c>
      <c r="F478" s="4">
        <v>42436</v>
      </c>
      <c r="G478" s="4">
        <v>254616</v>
      </c>
      <c r="H478" s="4">
        <v>163679</v>
      </c>
      <c r="I478" s="4"/>
      <c r="J478" s="4"/>
      <c r="K478" s="4"/>
      <c r="L478" s="6">
        <f t="shared" si="7"/>
        <v>1.55558135130347</v>
      </c>
      <c r="M478" s="4"/>
    </row>
    <row r="479" spans="1:13">
      <c r="A479" s="3">
        <v>45728</v>
      </c>
      <c r="B479" s="4" t="s">
        <v>6</v>
      </c>
      <c r="C479" s="4" t="s">
        <v>24</v>
      </c>
      <c r="D479" s="4" t="s">
        <v>30</v>
      </c>
      <c r="E479" s="4">
        <v>8</v>
      </c>
      <c r="F479" s="4">
        <v>30040</v>
      </c>
      <c r="G479" s="4">
        <v>240320</v>
      </c>
      <c r="H479" s="4">
        <v>193587</v>
      </c>
      <c r="I479" s="4"/>
      <c r="J479" s="4"/>
      <c r="K479" s="4"/>
      <c r="L479" s="6">
        <f t="shared" si="7"/>
        <v>1.24140567290159</v>
      </c>
      <c r="M479" s="4"/>
    </row>
    <row r="480" spans="1:13">
      <c r="A480" s="3">
        <v>45672</v>
      </c>
      <c r="B480" s="4" t="s">
        <v>7</v>
      </c>
      <c r="C480" s="4" t="s">
        <v>24</v>
      </c>
      <c r="D480" s="4" t="s">
        <v>33</v>
      </c>
      <c r="E480" s="4">
        <v>10</v>
      </c>
      <c r="F480" s="4">
        <v>49576</v>
      </c>
      <c r="G480" s="4">
        <v>495760</v>
      </c>
      <c r="H480" s="4">
        <v>164864</v>
      </c>
      <c r="I480" s="4"/>
      <c r="J480" s="4"/>
      <c r="K480" s="4"/>
      <c r="L480" s="6">
        <f t="shared" si="7"/>
        <v>3.00708462732919</v>
      </c>
      <c r="M480" s="4"/>
    </row>
    <row r="481" spans="1:13">
      <c r="A481" s="3">
        <v>45677</v>
      </c>
      <c r="B481" s="4" t="s">
        <v>2</v>
      </c>
      <c r="C481" s="4" t="s">
        <v>26</v>
      </c>
      <c r="D481" s="4" t="s">
        <v>25</v>
      </c>
      <c r="E481" s="4">
        <v>3</v>
      </c>
      <c r="F481" s="4">
        <v>28739</v>
      </c>
      <c r="G481" s="4">
        <v>86217</v>
      </c>
      <c r="H481" s="4">
        <v>112278</v>
      </c>
      <c r="I481" s="4"/>
      <c r="J481" s="4"/>
      <c r="K481" s="4"/>
      <c r="L481" s="6">
        <f t="shared" si="7"/>
        <v>0.767888633570245</v>
      </c>
      <c r="M481" s="4"/>
    </row>
    <row r="482" spans="1:13">
      <c r="A482" s="3">
        <v>45758</v>
      </c>
      <c r="B482" s="4" t="s">
        <v>7</v>
      </c>
      <c r="C482" s="4" t="s">
        <v>26</v>
      </c>
      <c r="D482" s="4" t="s">
        <v>27</v>
      </c>
      <c r="E482" s="4">
        <v>1</v>
      </c>
      <c r="F482" s="4">
        <v>38851</v>
      </c>
      <c r="G482" s="4">
        <v>38851</v>
      </c>
      <c r="H482" s="4">
        <v>86982</v>
      </c>
      <c r="I482" s="4"/>
      <c r="J482" s="4"/>
      <c r="K482" s="4"/>
      <c r="L482" s="6">
        <f t="shared" si="7"/>
        <v>0.446655629900439</v>
      </c>
      <c r="M482" s="4"/>
    </row>
    <row r="483" spans="1:13">
      <c r="A483" s="3">
        <v>45762</v>
      </c>
      <c r="B483" s="4" t="s">
        <v>4</v>
      </c>
      <c r="C483" s="4" t="s">
        <v>22</v>
      </c>
      <c r="D483" s="4" t="s">
        <v>33</v>
      </c>
      <c r="E483" s="4">
        <v>8</v>
      </c>
      <c r="F483" s="4">
        <v>17163</v>
      </c>
      <c r="G483" s="4">
        <v>137304</v>
      </c>
      <c r="H483" s="4">
        <v>20839</v>
      </c>
      <c r="I483" s="4"/>
      <c r="J483" s="4"/>
      <c r="K483" s="4"/>
      <c r="L483" s="6">
        <f t="shared" si="7"/>
        <v>6.58879984644177</v>
      </c>
      <c r="M483" s="4"/>
    </row>
    <row r="484" spans="1:13">
      <c r="A484" s="3">
        <v>45700</v>
      </c>
      <c r="B484" s="4" t="s">
        <v>8</v>
      </c>
      <c r="C484" s="4" t="s">
        <v>22</v>
      </c>
      <c r="D484" s="4" t="s">
        <v>30</v>
      </c>
      <c r="E484" s="4">
        <v>8</v>
      </c>
      <c r="F484" s="4">
        <v>3466</v>
      </c>
      <c r="G484" s="4">
        <v>27728</v>
      </c>
      <c r="H484" s="4">
        <v>146716</v>
      </c>
      <c r="I484" s="4"/>
      <c r="J484" s="4"/>
      <c r="K484" s="4"/>
      <c r="L484" s="6">
        <f t="shared" si="7"/>
        <v>0.188990975762698</v>
      </c>
      <c r="M484" s="4"/>
    </row>
    <row r="485" spans="1:13">
      <c r="A485" s="3">
        <v>45721</v>
      </c>
      <c r="B485" s="4" t="s">
        <v>2</v>
      </c>
      <c r="C485" s="4" t="s">
        <v>28</v>
      </c>
      <c r="D485" s="4" t="s">
        <v>23</v>
      </c>
      <c r="E485" s="4">
        <v>3</v>
      </c>
      <c r="F485" s="4">
        <v>10969</v>
      </c>
      <c r="G485" s="4">
        <v>32907</v>
      </c>
      <c r="H485" s="4">
        <v>198939</v>
      </c>
      <c r="I485" s="4"/>
      <c r="J485" s="4"/>
      <c r="K485" s="4"/>
      <c r="L485" s="6">
        <f t="shared" si="7"/>
        <v>0.165412513383499</v>
      </c>
      <c r="M485" s="4"/>
    </row>
    <row r="486" spans="1:13">
      <c r="A486" s="3">
        <v>45825</v>
      </c>
      <c r="B486" s="4" t="s">
        <v>4</v>
      </c>
      <c r="C486" s="4" t="s">
        <v>28</v>
      </c>
      <c r="D486" s="4" t="s">
        <v>33</v>
      </c>
      <c r="E486" s="4">
        <v>4</v>
      </c>
      <c r="F486" s="4">
        <v>22976</v>
      </c>
      <c r="G486" s="4">
        <v>91904</v>
      </c>
      <c r="H486" s="4">
        <v>29420</v>
      </c>
      <c r="I486" s="4"/>
      <c r="J486" s="4"/>
      <c r="K486" s="4"/>
      <c r="L486" s="6">
        <f t="shared" si="7"/>
        <v>3.12386131883073</v>
      </c>
      <c r="M486" s="4"/>
    </row>
    <row r="487" spans="1:13">
      <c r="A487" s="3">
        <v>45752</v>
      </c>
      <c r="B487" s="4" t="s">
        <v>4</v>
      </c>
      <c r="C487" s="4" t="s">
        <v>22</v>
      </c>
      <c r="D487" s="4" t="s">
        <v>25</v>
      </c>
      <c r="E487" s="4">
        <v>5</v>
      </c>
      <c r="F487" s="4">
        <v>31009</v>
      </c>
      <c r="G487" s="4">
        <v>155045</v>
      </c>
      <c r="H487" s="4">
        <v>107235</v>
      </c>
      <c r="I487" s="4"/>
      <c r="J487" s="4"/>
      <c r="K487" s="4"/>
      <c r="L487" s="6">
        <f t="shared" si="7"/>
        <v>1.44584324147899</v>
      </c>
      <c r="M487" s="4"/>
    </row>
    <row r="488" spans="1:13">
      <c r="A488" s="3">
        <v>45797</v>
      </c>
      <c r="B488" s="4" t="s">
        <v>5</v>
      </c>
      <c r="C488" s="4" t="s">
        <v>24</v>
      </c>
      <c r="D488" s="4" t="s">
        <v>29</v>
      </c>
      <c r="E488" s="4">
        <v>4</v>
      </c>
      <c r="F488" s="4">
        <v>49668</v>
      </c>
      <c r="G488" s="4">
        <v>198672</v>
      </c>
      <c r="H488" s="4">
        <v>133819</v>
      </c>
      <c r="I488" s="4"/>
      <c r="J488" s="4"/>
      <c r="K488" s="4"/>
      <c r="L488" s="6">
        <f t="shared" si="7"/>
        <v>1.48463222711274</v>
      </c>
      <c r="M488" s="4"/>
    </row>
    <row r="489" spans="1:13">
      <c r="A489" s="3">
        <v>45784</v>
      </c>
      <c r="B489" s="4" t="s">
        <v>7</v>
      </c>
      <c r="C489" s="4" t="s">
        <v>28</v>
      </c>
      <c r="D489" s="4" t="s">
        <v>25</v>
      </c>
      <c r="E489" s="4">
        <v>8</v>
      </c>
      <c r="F489" s="4">
        <v>37653</v>
      </c>
      <c r="G489" s="4">
        <v>301224</v>
      </c>
      <c r="H489" s="4">
        <v>59276</v>
      </c>
      <c r="I489" s="4"/>
      <c r="J489" s="4"/>
      <c r="K489" s="4"/>
      <c r="L489" s="6">
        <f t="shared" si="7"/>
        <v>5.08171941426547</v>
      </c>
      <c r="M489" s="4"/>
    </row>
    <row r="490" spans="1:13">
      <c r="A490" s="3">
        <v>45744</v>
      </c>
      <c r="B490" s="4" t="s">
        <v>2</v>
      </c>
      <c r="C490" s="4" t="s">
        <v>28</v>
      </c>
      <c r="D490" s="4" t="s">
        <v>33</v>
      </c>
      <c r="E490" s="4">
        <v>1</v>
      </c>
      <c r="F490" s="4">
        <v>8360</v>
      </c>
      <c r="G490" s="4">
        <v>8360</v>
      </c>
      <c r="H490" s="4">
        <v>90157</v>
      </c>
      <c r="I490" s="4"/>
      <c r="J490" s="4"/>
      <c r="K490" s="4"/>
      <c r="L490" s="6">
        <f t="shared" si="7"/>
        <v>0.0927271315593908</v>
      </c>
      <c r="M490" s="4"/>
    </row>
    <row r="491" spans="1:13">
      <c r="A491" s="3">
        <v>45715</v>
      </c>
      <c r="B491" s="4" t="s">
        <v>6</v>
      </c>
      <c r="C491" s="4" t="s">
        <v>28</v>
      </c>
      <c r="D491" s="4" t="s">
        <v>23</v>
      </c>
      <c r="E491" s="4">
        <v>3</v>
      </c>
      <c r="F491" s="4">
        <v>19219</v>
      </c>
      <c r="G491" s="4">
        <v>57657</v>
      </c>
      <c r="H491" s="4">
        <v>189472</v>
      </c>
      <c r="I491" s="4"/>
      <c r="J491" s="4"/>
      <c r="K491" s="4"/>
      <c r="L491" s="6">
        <f t="shared" si="7"/>
        <v>0.304303538253673</v>
      </c>
      <c r="M491" s="4"/>
    </row>
    <row r="492" spans="1:13">
      <c r="A492" s="3">
        <v>45777</v>
      </c>
      <c r="B492" s="4" t="s">
        <v>7</v>
      </c>
      <c r="C492" s="4" t="s">
        <v>22</v>
      </c>
      <c r="D492" s="4" t="s">
        <v>29</v>
      </c>
      <c r="E492" s="4">
        <v>4</v>
      </c>
      <c r="F492" s="4">
        <v>49687</v>
      </c>
      <c r="G492" s="4">
        <v>198748</v>
      </c>
      <c r="H492" s="4">
        <v>53788</v>
      </c>
      <c r="I492" s="4"/>
      <c r="J492" s="4"/>
      <c r="K492" s="4"/>
      <c r="L492" s="6">
        <f t="shared" si="7"/>
        <v>3.69502491261992</v>
      </c>
      <c r="M492" s="4"/>
    </row>
    <row r="493" spans="1:13">
      <c r="A493" s="3">
        <v>45823</v>
      </c>
      <c r="B493" s="4" t="s">
        <v>6</v>
      </c>
      <c r="C493" s="4" t="s">
        <v>28</v>
      </c>
      <c r="D493" s="4" t="s">
        <v>32</v>
      </c>
      <c r="E493" s="4">
        <v>5</v>
      </c>
      <c r="F493" s="4">
        <v>24867</v>
      </c>
      <c r="G493" s="4">
        <v>124335</v>
      </c>
      <c r="H493" s="4">
        <v>150100</v>
      </c>
      <c r="I493" s="4"/>
      <c r="J493" s="4"/>
      <c r="K493" s="4"/>
      <c r="L493" s="6">
        <f t="shared" si="7"/>
        <v>0.828347768154564</v>
      </c>
      <c r="M493" s="4"/>
    </row>
    <row r="494" spans="1:13">
      <c r="A494" s="3">
        <v>45714</v>
      </c>
      <c r="B494" s="4" t="s">
        <v>3</v>
      </c>
      <c r="C494" s="4" t="s">
        <v>22</v>
      </c>
      <c r="D494" s="4" t="s">
        <v>25</v>
      </c>
      <c r="E494" s="4">
        <v>9</v>
      </c>
      <c r="F494" s="4">
        <v>35334</v>
      </c>
      <c r="G494" s="4">
        <v>318006</v>
      </c>
      <c r="H494" s="4">
        <v>199203</v>
      </c>
      <c r="I494" s="4"/>
      <c r="J494" s="4"/>
      <c r="K494" s="4"/>
      <c r="L494" s="6">
        <f t="shared" si="7"/>
        <v>1.59639162060812</v>
      </c>
      <c r="M494" s="4"/>
    </row>
    <row r="495" spans="1:13">
      <c r="A495" s="3">
        <v>45813</v>
      </c>
      <c r="B495" s="4" t="s">
        <v>8</v>
      </c>
      <c r="C495" s="4" t="s">
        <v>22</v>
      </c>
      <c r="D495" s="4" t="s">
        <v>29</v>
      </c>
      <c r="E495" s="4">
        <v>4</v>
      </c>
      <c r="F495" s="4">
        <v>8124</v>
      </c>
      <c r="G495" s="4">
        <v>32496</v>
      </c>
      <c r="H495" s="4">
        <v>89331</v>
      </c>
      <c r="I495" s="4"/>
      <c r="J495" s="4"/>
      <c r="K495" s="4"/>
      <c r="L495" s="6">
        <f t="shared" si="7"/>
        <v>0.363770695503241</v>
      </c>
      <c r="M495" s="4"/>
    </row>
    <row r="496" spans="1:13">
      <c r="A496" s="3">
        <v>45667</v>
      </c>
      <c r="B496" s="4" t="s">
        <v>7</v>
      </c>
      <c r="C496" s="4" t="s">
        <v>28</v>
      </c>
      <c r="D496" s="4" t="s">
        <v>29</v>
      </c>
      <c r="E496" s="4">
        <v>9</v>
      </c>
      <c r="F496" s="4">
        <v>35334</v>
      </c>
      <c r="G496" s="4">
        <v>318006</v>
      </c>
      <c r="H496" s="4">
        <v>90428</v>
      </c>
      <c r="I496" s="4"/>
      <c r="J496" s="4"/>
      <c r="K496" s="4"/>
      <c r="L496" s="6">
        <f t="shared" si="7"/>
        <v>3.5166762507188</v>
      </c>
      <c r="M496" s="4"/>
    </row>
    <row r="497" spans="1:13">
      <c r="A497" s="3">
        <v>45742</v>
      </c>
      <c r="B497" s="4" t="s">
        <v>2</v>
      </c>
      <c r="C497" s="4" t="s">
        <v>24</v>
      </c>
      <c r="D497" s="4" t="s">
        <v>33</v>
      </c>
      <c r="E497" s="4">
        <v>6</v>
      </c>
      <c r="F497" s="4">
        <v>39672</v>
      </c>
      <c r="G497" s="4">
        <v>238032</v>
      </c>
      <c r="H497" s="4">
        <v>166672</v>
      </c>
      <c r="I497" s="4"/>
      <c r="J497" s="4"/>
      <c r="K497" s="4"/>
      <c r="L497" s="6">
        <f t="shared" si="7"/>
        <v>1.42814629931842</v>
      </c>
      <c r="M497" s="4"/>
    </row>
    <row r="498" spans="1:13">
      <c r="A498" s="3">
        <v>45786</v>
      </c>
      <c r="B498" s="4" t="s">
        <v>6</v>
      </c>
      <c r="C498" s="4" t="s">
        <v>26</v>
      </c>
      <c r="D498" s="4" t="s">
        <v>23</v>
      </c>
      <c r="E498" s="4">
        <v>5</v>
      </c>
      <c r="F498" s="4">
        <v>1613</v>
      </c>
      <c r="G498" s="4">
        <v>8065</v>
      </c>
      <c r="H498" s="4">
        <v>48850</v>
      </c>
      <c r="I498" s="4"/>
      <c r="J498" s="4"/>
      <c r="K498" s="4"/>
      <c r="L498" s="6">
        <f t="shared" si="7"/>
        <v>0.165097236438076</v>
      </c>
      <c r="M498" s="4"/>
    </row>
    <row r="499" spans="1:13">
      <c r="A499" s="3">
        <v>45673</v>
      </c>
      <c r="B499" s="4" t="s">
        <v>8</v>
      </c>
      <c r="C499" s="4" t="s">
        <v>24</v>
      </c>
      <c r="D499" s="4" t="s">
        <v>30</v>
      </c>
      <c r="E499" s="4">
        <v>10</v>
      </c>
      <c r="F499" s="4">
        <v>47409</v>
      </c>
      <c r="G499" s="4">
        <v>474090</v>
      </c>
      <c r="H499" s="4">
        <v>112055</v>
      </c>
      <c r="I499" s="4"/>
      <c r="J499" s="4"/>
      <c r="K499" s="4"/>
      <c r="L499" s="6">
        <f t="shared" si="7"/>
        <v>4.23086876980054</v>
      </c>
      <c r="M499" s="4"/>
    </row>
    <row r="500" spans="1:13">
      <c r="A500" s="3">
        <v>45796</v>
      </c>
      <c r="B500" s="4" t="s">
        <v>4</v>
      </c>
      <c r="C500" s="4" t="s">
        <v>28</v>
      </c>
      <c r="D500" s="4" t="s">
        <v>33</v>
      </c>
      <c r="E500" s="4">
        <v>8</v>
      </c>
      <c r="F500" s="4">
        <v>44130</v>
      </c>
      <c r="G500" s="4">
        <v>353040</v>
      </c>
      <c r="H500" s="4">
        <v>174007</v>
      </c>
      <c r="I500" s="4"/>
      <c r="J500" s="4"/>
      <c r="K500" s="4"/>
      <c r="L500" s="6">
        <f t="shared" si="7"/>
        <v>2.02888389547547</v>
      </c>
      <c r="M500" s="4"/>
    </row>
    <row r="501" spans="1:13">
      <c r="A501" s="3">
        <v>45799</v>
      </c>
      <c r="B501" s="4" t="s">
        <v>4</v>
      </c>
      <c r="C501" s="4" t="s">
        <v>24</v>
      </c>
      <c r="D501" s="4" t="s">
        <v>33</v>
      </c>
      <c r="E501" s="4">
        <v>3</v>
      </c>
      <c r="F501" s="4">
        <v>9775</v>
      </c>
      <c r="G501" s="4">
        <v>29325</v>
      </c>
      <c r="H501" s="4">
        <v>58089</v>
      </c>
      <c r="I501" s="4"/>
      <c r="J501" s="4"/>
      <c r="K501" s="4"/>
      <c r="L501" s="6">
        <f t="shared" si="7"/>
        <v>0.504828797190518</v>
      </c>
      <c r="M501" s="4"/>
    </row>
    <row r="502" spans="1:13">
      <c r="A502" s="3">
        <v>45834</v>
      </c>
      <c r="B502" s="4" t="s">
        <v>5</v>
      </c>
      <c r="C502" s="4" t="s">
        <v>22</v>
      </c>
      <c r="D502" s="4" t="s">
        <v>25</v>
      </c>
      <c r="E502" s="4">
        <v>5</v>
      </c>
      <c r="F502" s="4">
        <v>32851</v>
      </c>
      <c r="G502" s="4">
        <v>164255</v>
      </c>
      <c r="H502" s="4">
        <v>117870</v>
      </c>
      <c r="I502" s="4"/>
      <c r="J502" s="4"/>
      <c r="K502" s="4"/>
      <c r="L502" s="6">
        <f t="shared" si="7"/>
        <v>1.39352676677696</v>
      </c>
      <c r="M502" s="4"/>
    </row>
    <row r="503" spans="1:13">
      <c r="A503" s="3">
        <v>45668</v>
      </c>
      <c r="B503" s="4" t="s">
        <v>4</v>
      </c>
      <c r="C503" s="4" t="s">
        <v>24</v>
      </c>
      <c r="D503" s="4" t="s">
        <v>25</v>
      </c>
      <c r="E503" s="4">
        <v>7</v>
      </c>
      <c r="F503" s="4">
        <v>7252</v>
      </c>
      <c r="G503" s="4">
        <v>50764</v>
      </c>
      <c r="H503" s="4">
        <v>117068</v>
      </c>
      <c r="I503" s="4"/>
      <c r="J503" s="4"/>
      <c r="K503" s="4"/>
      <c r="L503" s="6">
        <f t="shared" si="7"/>
        <v>0.433628318584071</v>
      </c>
      <c r="M503" s="4"/>
    </row>
    <row r="504" spans="1:13">
      <c r="A504" s="3">
        <v>45686</v>
      </c>
      <c r="B504" s="4" t="s">
        <v>6</v>
      </c>
      <c r="C504" s="4" t="s">
        <v>28</v>
      </c>
      <c r="D504" s="4" t="s">
        <v>32</v>
      </c>
      <c r="E504" s="4">
        <v>1</v>
      </c>
      <c r="F504" s="4">
        <v>19739</v>
      </c>
      <c r="G504" s="4">
        <v>19739</v>
      </c>
      <c r="H504" s="4">
        <v>165467</v>
      </c>
      <c r="I504" s="4"/>
      <c r="J504" s="4"/>
      <c r="K504" s="4"/>
      <c r="L504" s="6">
        <f t="shared" si="7"/>
        <v>0.11929266862879</v>
      </c>
      <c r="M504" s="4"/>
    </row>
    <row r="505" spans="1:13">
      <c r="A505" s="3">
        <v>45814</v>
      </c>
      <c r="B505" s="4" t="s">
        <v>7</v>
      </c>
      <c r="C505" s="4" t="s">
        <v>24</v>
      </c>
      <c r="D505" s="4" t="s">
        <v>23</v>
      </c>
      <c r="E505" s="4">
        <v>5</v>
      </c>
      <c r="F505" s="4">
        <v>4226</v>
      </c>
      <c r="G505" s="4">
        <v>21130</v>
      </c>
      <c r="H505" s="4">
        <v>21962</v>
      </c>
      <c r="I505" s="4"/>
      <c r="J505" s="4"/>
      <c r="K505" s="4"/>
      <c r="L505" s="6">
        <f t="shared" si="7"/>
        <v>0.962116382843093</v>
      </c>
      <c r="M505" s="4"/>
    </row>
    <row r="506" spans="1:13">
      <c r="A506" s="3">
        <v>45766</v>
      </c>
      <c r="B506" s="4" t="s">
        <v>4</v>
      </c>
      <c r="C506" s="4" t="s">
        <v>24</v>
      </c>
      <c r="D506" s="4" t="s">
        <v>33</v>
      </c>
      <c r="E506" s="4">
        <v>4</v>
      </c>
      <c r="F506" s="4">
        <v>37301</v>
      </c>
      <c r="G506" s="4">
        <v>149204</v>
      </c>
      <c r="H506" s="4">
        <v>12140</v>
      </c>
      <c r="I506" s="4"/>
      <c r="J506" s="4"/>
      <c r="K506" s="4"/>
      <c r="L506" s="6">
        <f t="shared" si="7"/>
        <v>12.2902800658979</v>
      </c>
      <c r="M506" s="4"/>
    </row>
    <row r="507" spans="1:13">
      <c r="A507" s="3">
        <v>45801</v>
      </c>
      <c r="B507" s="4" t="s">
        <v>3</v>
      </c>
      <c r="C507" s="4" t="s">
        <v>26</v>
      </c>
      <c r="D507" s="4" t="s">
        <v>30</v>
      </c>
      <c r="E507" s="4">
        <v>10</v>
      </c>
      <c r="F507" s="4">
        <v>49150</v>
      </c>
      <c r="G507" s="4">
        <v>491500</v>
      </c>
      <c r="H507" s="4">
        <v>170182</v>
      </c>
      <c r="I507" s="4"/>
      <c r="J507" s="4"/>
      <c r="K507" s="4"/>
      <c r="L507" s="6">
        <f t="shared" si="7"/>
        <v>2.88808452127722</v>
      </c>
      <c r="M507" s="4"/>
    </row>
    <row r="508" spans="1:13">
      <c r="A508" s="3">
        <v>45735</v>
      </c>
      <c r="B508" s="4" t="s">
        <v>6</v>
      </c>
      <c r="C508" s="4" t="s">
        <v>26</v>
      </c>
      <c r="D508" s="4" t="s">
        <v>23</v>
      </c>
      <c r="E508" s="4">
        <v>9</v>
      </c>
      <c r="F508" s="4">
        <v>662</v>
      </c>
      <c r="G508" s="4">
        <v>5958</v>
      </c>
      <c r="H508" s="4">
        <v>103418</v>
      </c>
      <c r="I508" s="4"/>
      <c r="J508" s="4"/>
      <c r="K508" s="4"/>
      <c r="L508" s="6">
        <f t="shared" si="7"/>
        <v>0.0576108607785879</v>
      </c>
      <c r="M508" s="4"/>
    </row>
    <row r="509" spans="1:13">
      <c r="A509" s="3">
        <v>45785</v>
      </c>
      <c r="B509" s="4" t="s">
        <v>3</v>
      </c>
      <c r="C509" s="4" t="s">
        <v>26</v>
      </c>
      <c r="D509" s="4" t="s">
        <v>31</v>
      </c>
      <c r="E509" s="4">
        <v>8</v>
      </c>
      <c r="F509" s="4">
        <v>37665</v>
      </c>
      <c r="G509" s="4">
        <v>301320</v>
      </c>
      <c r="H509" s="4">
        <v>147794</v>
      </c>
      <c r="I509" s="4"/>
      <c r="J509" s="4"/>
      <c r="K509" s="4"/>
      <c r="L509" s="6">
        <f t="shared" si="7"/>
        <v>2.03878371246465</v>
      </c>
      <c r="M509" s="4"/>
    </row>
    <row r="510" spans="1:13">
      <c r="A510" s="3">
        <v>45796</v>
      </c>
      <c r="B510" s="4" t="s">
        <v>8</v>
      </c>
      <c r="C510" s="4" t="s">
        <v>24</v>
      </c>
      <c r="D510" s="4" t="s">
        <v>23</v>
      </c>
      <c r="E510" s="4">
        <v>9</v>
      </c>
      <c r="F510" s="4">
        <v>28124</v>
      </c>
      <c r="G510" s="4">
        <v>253116</v>
      </c>
      <c r="H510" s="4">
        <v>159780</v>
      </c>
      <c r="I510" s="4"/>
      <c r="J510" s="4"/>
      <c r="K510" s="4"/>
      <c r="L510" s="6">
        <f t="shared" si="7"/>
        <v>1.58415321066466</v>
      </c>
      <c r="M510" s="4"/>
    </row>
    <row r="511" spans="1:13">
      <c r="A511" s="3">
        <v>45773</v>
      </c>
      <c r="B511" s="4" t="s">
        <v>5</v>
      </c>
      <c r="C511" s="4" t="s">
        <v>24</v>
      </c>
      <c r="D511" s="4" t="s">
        <v>27</v>
      </c>
      <c r="E511" s="4">
        <v>6</v>
      </c>
      <c r="F511" s="4">
        <v>40705</v>
      </c>
      <c r="G511" s="4">
        <v>244230</v>
      </c>
      <c r="H511" s="4">
        <v>115928</v>
      </c>
      <c r="I511" s="4"/>
      <c r="J511" s="4"/>
      <c r="K511" s="4"/>
      <c r="L511" s="6">
        <f t="shared" si="7"/>
        <v>2.10673866537851</v>
      </c>
      <c r="M511" s="4"/>
    </row>
    <row r="512" spans="1:13">
      <c r="A512" s="3">
        <v>45801</v>
      </c>
      <c r="B512" s="4" t="s">
        <v>4</v>
      </c>
      <c r="C512" s="4" t="s">
        <v>26</v>
      </c>
      <c r="D512" s="4" t="s">
        <v>29</v>
      </c>
      <c r="E512" s="4">
        <v>3</v>
      </c>
      <c r="F512" s="4">
        <v>3295</v>
      </c>
      <c r="G512" s="4">
        <v>9885</v>
      </c>
      <c r="H512" s="4">
        <v>54965</v>
      </c>
      <c r="I512" s="4"/>
      <c r="J512" s="4"/>
      <c r="K512" s="4"/>
      <c r="L512" s="6">
        <f t="shared" si="7"/>
        <v>0.179841717456563</v>
      </c>
      <c r="M512" s="4"/>
    </row>
    <row r="513" spans="1:13">
      <c r="A513" s="3">
        <v>45729</v>
      </c>
      <c r="B513" s="4" t="s">
        <v>4</v>
      </c>
      <c r="C513" s="4" t="s">
        <v>22</v>
      </c>
      <c r="D513" s="4" t="s">
        <v>27</v>
      </c>
      <c r="E513" s="4">
        <v>5</v>
      </c>
      <c r="F513" s="4">
        <v>49090</v>
      </c>
      <c r="G513" s="4">
        <v>245450</v>
      </c>
      <c r="H513" s="4">
        <v>131648</v>
      </c>
      <c r="I513" s="4"/>
      <c r="J513" s="4"/>
      <c r="K513" s="4"/>
      <c r="L513" s="6">
        <f t="shared" si="7"/>
        <v>1.86444154107924</v>
      </c>
      <c r="M513" s="4"/>
    </row>
    <row r="514" spans="1:13">
      <c r="A514" s="3">
        <v>45706</v>
      </c>
      <c r="B514" s="4" t="s">
        <v>3</v>
      </c>
      <c r="C514" s="4" t="s">
        <v>26</v>
      </c>
      <c r="D514" s="4" t="s">
        <v>23</v>
      </c>
      <c r="E514" s="4">
        <v>10</v>
      </c>
      <c r="F514" s="4">
        <v>6708</v>
      </c>
      <c r="G514" s="4">
        <v>67080</v>
      </c>
      <c r="H514" s="4">
        <v>135266</v>
      </c>
      <c r="I514" s="4"/>
      <c r="J514" s="4"/>
      <c r="K514" s="4"/>
      <c r="L514" s="6">
        <f t="shared" si="7"/>
        <v>0.495911759052534</v>
      </c>
      <c r="M514" s="4"/>
    </row>
    <row r="515" spans="1:13">
      <c r="A515" s="3">
        <v>45696</v>
      </c>
      <c r="B515" s="4" t="s">
        <v>6</v>
      </c>
      <c r="C515" s="4" t="s">
        <v>28</v>
      </c>
      <c r="D515" s="4" t="s">
        <v>27</v>
      </c>
      <c r="E515" s="4">
        <v>5</v>
      </c>
      <c r="F515" s="4">
        <v>29590</v>
      </c>
      <c r="G515" s="4">
        <v>147950</v>
      </c>
      <c r="H515" s="4">
        <v>195681</v>
      </c>
      <c r="I515" s="4"/>
      <c r="J515" s="4"/>
      <c r="K515" s="4"/>
      <c r="L515" s="6">
        <f t="shared" ref="L515:L578" si="8">G515/H515</f>
        <v>0.756077493471517</v>
      </c>
      <c r="M515" s="4"/>
    </row>
    <row r="516" spans="1:13">
      <c r="A516" s="3">
        <v>45706</v>
      </c>
      <c r="B516" s="4" t="s">
        <v>8</v>
      </c>
      <c r="C516" s="4" t="s">
        <v>24</v>
      </c>
      <c r="D516" s="4" t="s">
        <v>29</v>
      </c>
      <c r="E516" s="4">
        <v>6</v>
      </c>
      <c r="F516" s="4">
        <v>22137</v>
      </c>
      <c r="G516" s="4">
        <v>132822</v>
      </c>
      <c r="H516" s="4">
        <v>128654</v>
      </c>
      <c r="I516" s="4"/>
      <c r="J516" s="4"/>
      <c r="K516" s="4"/>
      <c r="L516" s="6">
        <f t="shared" si="8"/>
        <v>1.0323969717226</v>
      </c>
      <c r="M516" s="4"/>
    </row>
    <row r="517" spans="1:13">
      <c r="A517" s="3">
        <v>45734</v>
      </c>
      <c r="B517" s="4" t="s">
        <v>6</v>
      </c>
      <c r="C517" s="4" t="s">
        <v>26</v>
      </c>
      <c r="D517" s="4" t="s">
        <v>23</v>
      </c>
      <c r="E517" s="4">
        <v>5</v>
      </c>
      <c r="F517" s="4">
        <v>47903</v>
      </c>
      <c r="G517" s="4">
        <v>239515</v>
      </c>
      <c r="H517" s="4">
        <v>121862</v>
      </c>
      <c r="I517" s="4"/>
      <c r="J517" s="4"/>
      <c r="K517" s="4"/>
      <c r="L517" s="6">
        <f t="shared" si="8"/>
        <v>1.96546093121728</v>
      </c>
      <c r="M517" s="4"/>
    </row>
    <row r="518" spans="1:13">
      <c r="A518" s="3">
        <v>45671</v>
      </c>
      <c r="B518" s="4" t="s">
        <v>4</v>
      </c>
      <c r="C518" s="4" t="s">
        <v>26</v>
      </c>
      <c r="D518" s="4" t="s">
        <v>27</v>
      </c>
      <c r="E518" s="4">
        <v>5</v>
      </c>
      <c r="F518" s="4">
        <v>39000</v>
      </c>
      <c r="G518" s="4">
        <v>195000</v>
      </c>
      <c r="H518" s="4">
        <v>91945</v>
      </c>
      <c r="I518" s="4"/>
      <c r="J518" s="4"/>
      <c r="K518" s="4"/>
      <c r="L518" s="6">
        <f t="shared" si="8"/>
        <v>2.1208331067486</v>
      </c>
      <c r="M518" s="4"/>
    </row>
    <row r="519" spans="1:13">
      <c r="A519" s="3">
        <v>45705</v>
      </c>
      <c r="B519" s="4" t="s">
        <v>3</v>
      </c>
      <c r="C519" s="4" t="s">
        <v>22</v>
      </c>
      <c r="D519" s="4" t="s">
        <v>31</v>
      </c>
      <c r="E519" s="4">
        <v>4</v>
      </c>
      <c r="F519" s="4">
        <v>5297</v>
      </c>
      <c r="G519" s="4">
        <v>21188</v>
      </c>
      <c r="H519" s="4">
        <v>185187</v>
      </c>
      <c r="I519" s="4"/>
      <c r="J519" s="4"/>
      <c r="K519" s="4"/>
      <c r="L519" s="6">
        <f t="shared" si="8"/>
        <v>0.114414078742028</v>
      </c>
      <c r="M519" s="4"/>
    </row>
    <row r="520" spans="1:13">
      <c r="A520" s="3">
        <v>45701</v>
      </c>
      <c r="B520" s="4" t="s">
        <v>3</v>
      </c>
      <c r="C520" s="4" t="s">
        <v>26</v>
      </c>
      <c r="D520" s="4" t="s">
        <v>25</v>
      </c>
      <c r="E520" s="4">
        <v>7</v>
      </c>
      <c r="F520" s="4">
        <v>35519</v>
      </c>
      <c r="G520" s="4">
        <v>248633</v>
      </c>
      <c r="H520" s="4">
        <v>135379</v>
      </c>
      <c r="I520" s="4"/>
      <c r="J520" s="4"/>
      <c r="K520" s="4"/>
      <c r="L520" s="6">
        <f t="shared" si="8"/>
        <v>1.8365699259117</v>
      </c>
      <c r="M520" s="4"/>
    </row>
    <row r="521" spans="1:13">
      <c r="A521" s="3">
        <v>45791</v>
      </c>
      <c r="B521" s="4" t="s">
        <v>4</v>
      </c>
      <c r="C521" s="4" t="s">
        <v>28</v>
      </c>
      <c r="D521" s="4" t="s">
        <v>23</v>
      </c>
      <c r="E521" s="4">
        <v>3</v>
      </c>
      <c r="F521" s="4">
        <v>34676</v>
      </c>
      <c r="G521" s="4">
        <v>104028</v>
      </c>
      <c r="H521" s="4">
        <v>36774</v>
      </c>
      <c r="I521" s="4"/>
      <c r="J521" s="4"/>
      <c r="K521" s="4"/>
      <c r="L521" s="6">
        <f t="shared" si="8"/>
        <v>2.82884646761299</v>
      </c>
      <c r="M521" s="4"/>
    </row>
    <row r="522" spans="1:13">
      <c r="A522" s="3">
        <v>45816</v>
      </c>
      <c r="B522" s="4" t="s">
        <v>3</v>
      </c>
      <c r="C522" s="4" t="s">
        <v>28</v>
      </c>
      <c r="D522" s="4" t="s">
        <v>23</v>
      </c>
      <c r="E522" s="4">
        <v>10</v>
      </c>
      <c r="F522" s="4">
        <v>14404</v>
      </c>
      <c r="G522" s="4">
        <v>144040</v>
      </c>
      <c r="H522" s="4">
        <v>102828</v>
      </c>
      <c r="I522" s="4"/>
      <c r="J522" s="4"/>
      <c r="K522" s="4"/>
      <c r="L522" s="6">
        <f t="shared" si="8"/>
        <v>1.40078577819271</v>
      </c>
      <c r="M522" s="4"/>
    </row>
    <row r="523" spans="1:13">
      <c r="A523" s="3">
        <v>45776</v>
      </c>
      <c r="B523" s="4" t="s">
        <v>6</v>
      </c>
      <c r="C523" s="4" t="s">
        <v>28</v>
      </c>
      <c r="D523" s="4" t="s">
        <v>33</v>
      </c>
      <c r="E523" s="4">
        <v>4</v>
      </c>
      <c r="F523" s="4">
        <v>45876</v>
      </c>
      <c r="G523" s="4">
        <v>183504</v>
      </c>
      <c r="H523" s="4">
        <v>147825</v>
      </c>
      <c r="I523" s="4"/>
      <c r="J523" s="4"/>
      <c r="K523" s="4"/>
      <c r="L523" s="6">
        <f t="shared" si="8"/>
        <v>1.24135971588026</v>
      </c>
      <c r="M523" s="4"/>
    </row>
    <row r="524" spans="1:13">
      <c r="A524" s="3">
        <v>45692</v>
      </c>
      <c r="B524" s="4" t="s">
        <v>4</v>
      </c>
      <c r="C524" s="4" t="s">
        <v>22</v>
      </c>
      <c r="D524" s="4" t="s">
        <v>23</v>
      </c>
      <c r="E524" s="4">
        <v>8</v>
      </c>
      <c r="F524" s="4">
        <v>38006</v>
      </c>
      <c r="G524" s="4">
        <v>304048</v>
      </c>
      <c r="H524" s="4">
        <v>160861</v>
      </c>
      <c r="I524" s="4"/>
      <c r="J524" s="4"/>
      <c r="K524" s="4"/>
      <c r="L524" s="6">
        <f t="shared" si="8"/>
        <v>1.89012874469262</v>
      </c>
      <c r="M524" s="4"/>
    </row>
    <row r="525" spans="1:13">
      <c r="A525" s="3">
        <v>45765</v>
      </c>
      <c r="B525" s="4" t="s">
        <v>3</v>
      </c>
      <c r="C525" s="4" t="s">
        <v>28</v>
      </c>
      <c r="D525" s="4" t="s">
        <v>30</v>
      </c>
      <c r="E525" s="4">
        <v>1</v>
      </c>
      <c r="F525" s="4">
        <v>3458</v>
      </c>
      <c r="G525" s="4">
        <v>3458</v>
      </c>
      <c r="H525" s="4">
        <v>100823</v>
      </c>
      <c r="I525" s="4"/>
      <c r="J525" s="4"/>
      <c r="K525" s="4"/>
      <c r="L525" s="6">
        <f t="shared" si="8"/>
        <v>0.034297729684695</v>
      </c>
      <c r="M525" s="4"/>
    </row>
    <row r="526" spans="1:13">
      <c r="A526" s="3">
        <v>45822</v>
      </c>
      <c r="B526" s="4" t="s">
        <v>2</v>
      </c>
      <c r="C526" s="4" t="s">
        <v>26</v>
      </c>
      <c r="D526" s="4" t="s">
        <v>30</v>
      </c>
      <c r="E526" s="4">
        <v>4</v>
      </c>
      <c r="F526" s="4">
        <v>30231</v>
      </c>
      <c r="G526" s="4">
        <v>120924</v>
      </c>
      <c r="H526" s="4">
        <v>137874</v>
      </c>
      <c r="I526" s="4"/>
      <c r="J526" s="4"/>
      <c r="K526" s="4"/>
      <c r="L526" s="6">
        <f t="shared" si="8"/>
        <v>0.877061664998477</v>
      </c>
      <c r="M526" s="4"/>
    </row>
    <row r="527" spans="1:13">
      <c r="A527" s="3">
        <v>45837</v>
      </c>
      <c r="B527" s="4" t="s">
        <v>4</v>
      </c>
      <c r="C527" s="4" t="s">
        <v>28</v>
      </c>
      <c r="D527" s="4" t="s">
        <v>29</v>
      </c>
      <c r="E527" s="4">
        <v>9</v>
      </c>
      <c r="F527" s="4">
        <v>40791</v>
      </c>
      <c r="G527" s="4">
        <v>367119</v>
      </c>
      <c r="H527" s="4">
        <v>101940</v>
      </c>
      <c r="I527" s="4"/>
      <c r="J527" s="4"/>
      <c r="K527" s="4"/>
      <c r="L527" s="6">
        <f t="shared" si="8"/>
        <v>3.60132430841672</v>
      </c>
      <c r="M527" s="4"/>
    </row>
    <row r="528" spans="1:13">
      <c r="A528" s="3">
        <v>45827</v>
      </c>
      <c r="B528" s="4" t="s">
        <v>7</v>
      </c>
      <c r="C528" s="4" t="s">
        <v>28</v>
      </c>
      <c r="D528" s="4" t="s">
        <v>29</v>
      </c>
      <c r="E528" s="4">
        <v>6</v>
      </c>
      <c r="F528" s="4">
        <v>1747</v>
      </c>
      <c r="G528" s="4">
        <v>10482</v>
      </c>
      <c r="H528" s="4">
        <v>49766</v>
      </c>
      <c r="I528" s="4"/>
      <c r="J528" s="4"/>
      <c r="K528" s="4"/>
      <c r="L528" s="6">
        <f t="shared" si="8"/>
        <v>0.210625728408954</v>
      </c>
      <c r="M528" s="4"/>
    </row>
    <row r="529" spans="1:13">
      <c r="A529" s="3">
        <v>45745</v>
      </c>
      <c r="B529" s="4" t="s">
        <v>4</v>
      </c>
      <c r="C529" s="4" t="s">
        <v>22</v>
      </c>
      <c r="D529" s="4" t="s">
        <v>31</v>
      </c>
      <c r="E529" s="4">
        <v>8</v>
      </c>
      <c r="F529" s="4">
        <v>10711</v>
      </c>
      <c r="G529" s="4">
        <v>85688</v>
      </c>
      <c r="H529" s="4">
        <v>136660</v>
      </c>
      <c r="I529" s="4"/>
      <c r="J529" s="4"/>
      <c r="K529" s="4"/>
      <c r="L529" s="6">
        <f t="shared" si="8"/>
        <v>0.627015951997658</v>
      </c>
      <c r="M529" s="4"/>
    </row>
    <row r="530" spans="1:13">
      <c r="A530" s="3">
        <v>45683</v>
      </c>
      <c r="B530" s="4" t="s">
        <v>3</v>
      </c>
      <c r="C530" s="4" t="s">
        <v>22</v>
      </c>
      <c r="D530" s="4" t="s">
        <v>32</v>
      </c>
      <c r="E530" s="4">
        <v>6</v>
      </c>
      <c r="F530" s="4">
        <v>30740</v>
      </c>
      <c r="G530" s="4">
        <v>184440</v>
      </c>
      <c r="H530" s="4">
        <v>152862</v>
      </c>
      <c r="I530" s="4"/>
      <c r="J530" s="4"/>
      <c r="K530" s="4"/>
      <c r="L530" s="6">
        <f t="shared" si="8"/>
        <v>1.20657848255289</v>
      </c>
      <c r="M530" s="4"/>
    </row>
    <row r="531" spans="1:13">
      <c r="A531" s="3">
        <v>45755</v>
      </c>
      <c r="B531" s="4" t="s">
        <v>2</v>
      </c>
      <c r="C531" s="4" t="s">
        <v>26</v>
      </c>
      <c r="D531" s="4" t="s">
        <v>23</v>
      </c>
      <c r="E531" s="4">
        <v>1</v>
      </c>
      <c r="F531" s="4">
        <v>18751</v>
      </c>
      <c r="G531" s="4">
        <v>18751</v>
      </c>
      <c r="H531" s="4">
        <v>97034</v>
      </c>
      <c r="I531" s="4"/>
      <c r="J531" s="4"/>
      <c r="K531" s="4"/>
      <c r="L531" s="6">
        <f t="shared" si="8"/>
        <v>0.193241544201002</v>
      </c>
      <c r="M531" s="4"/>
    </row>
    <row r="532" spans="1:13">
      <c r="A532" s="3">
        <v>45694</v>
      </c>
      <c r="B532" s="4" t="s">
        <v>2</v>
      </c>
      <c r="C532" s="4" t="s">
        <v>28</v>
      </c>
      <c r="D532" s="4" t="s">
        <v>30</v>
      </c>
      <c r="E532" s="4">
        <v>8</v>
      </c>
      <c r="F532" s="4">
        <v>49229</v>
      </c>
      <c r="G532" s="4">
        <v>393832</v>
      </c>
      <c r="H532" s="4">
        <v>178778</v>
      </c>
      <c r="I532" s="4"/>
      <c r="J532" s="4"/>
      <c r="K532" s="4"/>
      <c r="L532" s="6">
        <f t="shared" si="8"/>
        <v>2.20291087270246</v>
      </c>
      <c r="M532" s="4"/>
    </row>
    <row r="533" spans="1:13">
      <c r="A533" s="3">
        <v>45799</v>
      </c>
      <c r="B533" s="4" t="s">
        <v>6</v>
      </c>
      <c r="C533" s="4" t="s">
        <v>24</v>
      </c>
      <c r="D533" s="4" t="s">
        <v>32</v>
      </c>
      <c r="E533" s="4">
        <v>2</v>
      </c>
      <c r="F533" s="4">
        <v>44927</v>
      </c>
      <c r="G533" s="4">
        <v>89854</v>
      </c>
      <c r="H533" s="4">
        <v>153889</v>
      </c>
      <c r="I533" s="4"/>
      <c r="J533" s="4"/>
      <c r="K533" s="4"/>
      <c r="L533" s="6">
        <f t="shared" si="8"/>
        <v>0.583888387084197</v>
      </c>
      <c r="M533" s="4"/>
    </row>
    <row r="534" spans="1:13">
      <c r="A534" s="3">
        <v>45685</v>
      </c>
      <c r="B534" s="4" t="s">
        <v>5</v>
      </c>
      <c r="C534" s="4" t="s">
        <v>22</v>
      </c>
      <c r="D534" s="4" t="s">
        <v>25</v>
      </c>
      <c r="E534" s="4">
        <v>10</v>
      </c>
      <c r="F534" s="4">
        <v>36871</v>
      </c>
      <c r="G534" s="4">
        <v>368710</v>
      </c>
      <c r="H534" s="4">
        <v>145228</v>
      </c>
      <c r="I534" s="4"/>
      <c r="J534" s="4"/>
      <c r="K534" s="4"/>
      <c r="L534" s="6">
        <f t="shared" si="8"/>
        <v>2.53883548626987</v>
      </c>
      <c r="M534" s="4"/>
    </row>
    <row r="535" spans="1:13">
      <c r="A535" s="3">
        <v>45813</v>
      </c>
      <c r="B535" s="4" t="s">
        <v>2</v>
      </c>
      <c r="C535" s="4" t="s">
        <v>26</v>
      </c>
      <c r="D535" s="4" t="s">
        <v>25</v>
      </c>
      <c r="E535" s="4">
        <v>5</v>
      </c>
      <c r="F535" s="4">
        <v>39950</v>
      </c>
      <c r="G535" s="4">
        <v>199750</v>
      </c>
      <c r="H535" s="4">
        <v>102336</v>
      </c>
      <c r="I535" s="4"/>
      <c r="J535" s="4"/>
      <c r="K535" s="4"/>
      <c r="L535" s="6">
        <f t="shared" si="8"/>
        <v>1.95190353345841</v>
      </c>
      <c r="M535" s="4"/>
    </row>
    <row r="536" spans="1:13">
      <c r="A536" s="3">
        <v>45822</v>
      </c>
      <c r="B536" s="4" t="s">
        <v>3</v>
      </c>
      <c r="C536" s="4" t="s">
        <v>28</v>
      </c>
      <c r="D536" s="4" t="s">
        <v>33</v>
      </c>
      <c r="E536" s="4">
        <v>5</v>
      </c>
      <c r="F536" s="4">
        <v>2676</v>
      </c>
      <c r="G536" s="4">
        <v>13380</v>
      </c>
      <c r="H536" s="4">
        <v>38387</v>
      </c>
      <c r="I536" s="4"/>
      <c r="J536" s="4"/>
      <c r="K536" s="4"/>
      <c r="L536" s="6">
        <f t="shared" si="8"/>
        <v>0.348555500560085</v>
      </c>
      <c r="M536" s="4"/>
    </row>
    <row r="537" spans="1:13">
      <c r="A537" s="3">
        <v>45728</v>
      </c>
      <c r="B537" s="4" t="s">
        <v>5</v>
      </c>
      <c r="C537" s="4" t="s">
        <v>24</v>
      </c>
      <c r="D537" s="4" t="s">
        <v>32</v>
      </c>
      <c r="E537" s="4">
        <v>3</v>
      </c>
      <c r="F537" s="4">
        <v>49763</v>
      </c>
      <c r="G537" s="4">
        <v>149289</v>
      </c>
      <c r="H537" s="4">
        <v>34716</v>
      </c>
      <c r="I537" s="4"/>
      <c r="J537" s="4"/>
      <c r="K537" s="4"/>
      <c r="L537" s="6">
        <f t="shared" si="8"/>
        <v>4.30029381265123</v>
      </c>
      <c r="M537" s="4"/>
    </row>
    <row r="538" spans="1:13">
      <c r="A538" s="3">
        <v>45802</v>
      </c>
      <c r="B538" s="4" t="s">
        <v>7</v>
      </c>
      <c r="C538" s="4" t="s">
        <v>22</v>
      </c>
      <c r="D538" s="4" t="s">
        <v>31</v>
      </c>
      <c r="E538" s="4">
        <v>3</v>
      </c>
      <c r="F538" s="4">
        <v>19467</v>
      </c>
      <c r="G538" s="4">
        <v>58401</v>
      </c>
      <c r="H538" s="4">
        <v>20289</v>
      </c>
      <c r="I538" s="4"/>
      <c r="J538" s="4"/>
      <c r="K538" s="4"/>
      <c r="L538" s="6">
        <f t="shared" si="8"/>
        <v>2.87845630637291</v>
      </c>
      <c r="M538" s="4"/>
    </row>
    <row r="539" spans="1:13">
      <c r="A539" s="3">
        <v>45817</v>
      </c>
      <c r="B539" s="4" t="s">
        <v>2</v>
      </c>
      <c r="C539" s="4" t="s">
        <v>22</v>
      </c>
      <c r="D539" s="4" t="s">
        <v>32</v>
      </c>
      <c r="E539" s="4">
        <v>8</v>
      </c>
      <c r="F539" s="4">
        <v>8745</v>
      </c>
      <c r="G539" s="4">
        <v>69960</v>
      </c>
      <c r="H539" s="4">
        <v>99973</v>
      </c>
      <c r="I539" s="4"/>
      <c r="J539" s="4"/>
      <c r="K539" s="4"/>
      <c r="L539" s="6">
        <f t="shared" si="8"/>
        <v>0.699788943014614</v>
      </c>
      <c r="M539" s="4"/>
    </row>
    <row r="540" spans="1:13">
      <c r="A540" s="3">
        <v>45702</v>
      </c>
      <c r="B540" s="4" t="s">
        <v>3</v>
      </c>
      <c r="C540" s="4" t="s">
        <v>22</v>
      </c>
      <c r="D540" s="4" t="s">
        <v>33</v>
      </c>
      <c r="E540" s="4">
        <v>10</v>
      </c>
      <c r="F540" s="4">
        <v>44563</v>
      </c>
      <c r="G540" s="4">
        <v>445630</v>
      </c>
      <c r="H540" s="4">
        <v>60595</v>
      </c>
      <c r="I540" s="4"/>
      <c r="J540" s="4"/>
      <c r="K540" s="4"/>
      <c r="L540" s="6">
        <f t="shared" si="8"/>
        <v>7.35423714827956</v>
      </c>
      <c r="M540" s="4"/>
    </row>
    <row r="541" spans="1:13">
      <c r="A541" s="3">
        <v>45669</v>
      </c>
      <c r="B541" s="4" t="s">
        <v>2</v>
      </c>
      <c r="C541" s="4" t="s">
        <v>28</v>
      </c>
      <c r="D541" s="4" t="s">
        <v>29</v>
      </c>
      <c r="E541" s="4">
        <v>5</v>
      </c>
      <c r="F541" s="4">
        <v>30216</v>
      </c>
      <c r="G541" s="4">
        <v>151080</v>
      </c>
      <c r="H541" s="4">
        <v>115713</v>
      </c>
      <c r="I541" s="4"/>
      <c r="J541" s="4"/>
      <c r="K541" s="4"/>
      <c r="L541" s="6">
        <f t="shared" si="8"/>
        <v>1.30564413678671</v>
      </c>
      <c r="M541" s="4"/>
    </row>
    <row r="542" spans="1:13">
      <c r="A542" s="3">
        <v>45658</v>
      </c>
      <c r="B542" s="4" t="s">
        <v>4</v>
      </c>
      <c r="C542" s="4" t="s">
        <v>28</v>
      </c>
      <c r="D542" s="4" t="s">
        <v>31</v>
      </c>
      <c r="E542" s="4">
        <v>8</v>
      </c>
      <c r="F542" s="4">
        <v>25569</v>
      </c>
      <c r="G542" s="4">
        <v>204552</v>
      </c>
      <c r="H542" s="4">
        <v>141244</v>
      </c>
      <c r="I542" s="4"/>
      <c r="J542" s="4"/>
      <c r="K542" s="4"/>
      <c r="L542" s="6">
        <f t="shared" si="8"/>
        <v>1.44821726940613</v>
      </c>
      <c r="M542" s="4"/>
    </row>
    <row r="543" spans="1:13">
      <c r="A543" s="3">
        <v>45830</v>
      </c>
      <c r="B543" s="4" t="s">
        <v>4</v>
      </c>
      <c r="C543" s="4" t="s">
        <v>26</v>
      </c>
      <c r="D543" s="4" t="s">
        <v>27</v>
      </c>
      <c r="E543" s="4">
        <v>1</v>
      </c>
      <c r="F543" s="4">
        <v>15861</v>
      </c>
      <c r="G543" s="4">
        <v>15861</v>
      </c>
      <c r="H543" s="4">
        <v>148669</v>
      </c>
      <c r="I543" s="4"/>
      <c r="J543" s="4"/>
      <c r="K543" s="4"/>
      <c r="L543" s="6">
        <f t="shared" si="8"/>
        <v>0.10668666635277</v>
      </c>
      <c r="M543" s="4"/>
    </row>
    <row r="544" spans="1:13">
      <c r="A544" s="3">
        <v>45835</v>
      </c>
      <c r="B544" s="4" t="s">
        <v>6</v>
      </c>
      <c r="C544" s="4" t="s">
        <v>28</v>
      </c>
      <c r="D544" s="4" t="s">
        <v>23</v>
      </c>
      <c r="E544" s="4">
        <v>10</v>
      </c>
      <c r="F544" s="4">
        <v>4437</v>
      </c>
      <c r="G544" s="4">
        <v>44370</v>
      </c>
      <c r="H544" s="4">
        <v>184525</v>
      </c>
      <c r="I544" s="4"/>
      <c r="J544" s="4"/>
      <c r="K544" s="4"/>
      <c r="L544" s="6">
        <f t="shared" si="8"/>
        <v>0.24045522286953</v>
      </c>
      <c r="M544" s="4"/>
    </row>
    <row r="545" spans="1:13">
      <c r="A545" s="3">
        <v>45725</v>
      </c>
      <c r="B545" s="4" t="s">
        <v>3</v>
      </c>
      <c r="C545" s="4" t="s">
        <v>26</v>
      </c>
      <c r="D545" s="4" t="s">
        <v>30</v>
      </c>
      <c r="E545" s="4">
        <v>8</v>
      </c>
      <c r="F545" s="4">
        <v>28090</v>
      </c>
      <c r="G545" s="4">
        <v>224720</v>
      </c>
      <c r="H545" s="4">
        <v>143189</v>
      </c>
      <c r="I545" s="4"/>
      <c r="J545" s="4"/>
      <c r="K545" s="4"/>
      <c r="L545" s="6">
        <f t="shared" si="8"/>
        <v>1.56939429704796</v>
      </c>
      <c r="M545" s="4"/>
    </row>
    <row r="546" spans="1:13">
      <c r="A546" s="3">
        <v>45816</v>
      </c>
      <c r="B546" s="4" t="s">
        <v>7</v>
      </c>
      <c r="C546" s="4" t="s">
        <v>26</v>
      </c>
      <c r="D546" s="4" t="s">
        <v>33</v>
      </c>
      <c r="E546" s="4">
        <v>10</v>
      </c>
      <c r="F546" s="4">
        <v>5033</v>
      </c>
      <c r="G546" s="4">
        <v>50330</v>
      </c>
      <c r="H546" s="4">
        <v>121441</v>
      </c>
      <c r="I546" s="4"/>
      <c r="J546" s="4"/>
      <c r="K546" s="4"/>
      <c r="L546" s="6">
        <f t="shared" si="8"/>
        <v>0.414439933795012</v>
      </c>
      <c r="M546" s="4"/>
    </row>
    <row r="547" spans="1:13">
      <c r="A547" s="3">
        <v>45727</v>
      </c>
      <c r="B547" s="4" t="s">
        <v>4</v>
      </c>
      <c r="C547" s="4" t="s">
        <v>22</v>
      </c>
      <c r="D547" s="4" t="s">
        <v>32</v>
      </c>
      <c r="E547" s="4">
        <v>6</v>
      </c>
      <c r="F547" s="4">
        <v>5837</v>
      </c>
      <c r="G547" s="4">
        <v>35022</v>
      </c>
      <c r="H547" s="4">
        <v>93989</v>
      </c>
      <c r="I547" s="4"/>
      <c r="J547" s="4"/>
      <c r="K547" s="4"/>
      <c r="L547" s="6">
        <f t="shared" si="8"/>
        <v>0.372618072327613</v>
      </c>
      <c r="M547" s="4"/>
    </row>
    <row r="548" spans="1:13">
      <c r="A548" s="3">
        <v>45742</v>
      </c>
      <c r="B548" s="4" t="s">
        <v>7</v>
      </c>
      <c r="C548" s="4" t="s">
        <v>24</v>
      </c>
      <c r="D548" s="4" t="s">
        <v>27</v>
      </c>
      <c r="E548" s="4">
        <v>5</v>
      </c>
      <c r="F548" s="4">
        <v>10263</v>
      </c>
      <c r="G548" s="4">
        <v>51315</v>
      </c>
      <c r="H548" s="4">
        <v>173103</v>
      </c>
      <c r="I548" s="4"/>
      <c r="J548" s="4"/>
      <c r="K548" s="4"/>
      <c r="L548" s="6">
        <f t="shared" si="8"/>
        <v>0.296442002738254</v>
      </c>
      <c r="M548" s="4"/>
    </row>
    <row r="549" spans="1:13">
      <c r="A549" s="3">
        <v>45675</v>
      </c>
      <c r="B549" s="4" t="s">
        <v>2</v>
      </c>
      <c r="C549" s="4" t="s">
        <v>24</v>
      </c>
      <c r="D549" s="4" t="s">
        <v>33</v>
      </c>
      <c r="E549" s="4">
        <v>2</v>
      </c>
      <c r="F549" s="4">
        <v>25069</v>
      </c>
      <c r="G549" s="4">
        <v>50138</v>
      </c>
      <c r="H549" s="4">
        <v>173654</v>
      </c>
      <c r="I549" s="4"/>
      <c r="J549" s="4"/>
      <c r="K549" s="4"/>
      <c r="L549" s="6">
        <f t="shared" si="8"/>
        <v>0.288723553733286</v>
      </c>
      <c r="M549" s="4"/>
    </row>
    <row r="550" spans="1:13">
      <c r="A550" s="3">
        <v>45770</v>
      </c>
      <c r="B550" s="4" t="s">
        <v>2</v>
      </c>
      <c r="C550" s="4" t="s">
        <v>28</v>
      </c>
      <c r="D550" s="4" t="s">
        <v>23</v>
      </c>
      <c r="E550" s="4">
        <v>3</v>
      </c>
      <c r="F550" s="4">
        <v>41247</v>
      </c>
      <c r="G550" s="4">
        <v>123741</v>
      </c>
      <c r="H550" s="4">
        <v>116285</v>
      </c>
      <c r="I550" s="4"/>
      <c r="J550" s="4"/>
      <c r="K550" s="4"/>
      <c r="L550" s="6">
        <f t="shared" si="8"/>
        <v>1.06411832996517</v>
      </c>
      <c r="M550" s="4"/>
    </row>
    <row r="551" spans="1:13">
      <c r="A551" s="3">
        <v>45705</v>
      </c>
      <c r="B551" s="4" t="s">
        <v>6</v>
      </c>
      <c r="C551" s="4" t="s">
        <v>28</v>
      </c>
      <c r="D551" s="4" t="s">
        <v>27</v>
      </c>
      <c r="E551" s="4">
        <v>1</v>
      </c>
      <c r="F551" s="4">
        <v>41009</v>
      </c>
      <c r="G551" s="4">
        <v>41009</v>
      </c>
      <c r="H551" s="4">
        <v>15682</v>
      </c>
      <c r="I551" s="4"/>
      <c r="J551" s="4"/>
      <c r="K551" s="4"/>
      <c r="L551" s="6">
        <f t="shared" si="8"/>
        <v>2.61503634740467</v>
      </c>
      <c r="M551" s="4"/>
    </row>
    <row r="552" spans="1:13">
      <c r="A552" s="3">
        <v>45672</v>
      </c>
      <c r="B552" s="4" t="s">
        <v>3</v>
      </c>
      <c r="C552" s="4" t="s">
        <v>22</v>
      </c>
      <c r="D552" s="4" t="s">
        <v>29</v>
      </c>
      <c r="E552" s="4">
        <v>6</v>
      </c>
      <c r="F552" s="4">
        <v>5126</v>
      </c>
      <c r="G552" s="4">
        <v>30756</v>
      </c>
      <c r="H552" s="4">
        <v>116949</v>
      </c>
      <c r="I552" s="4"/>
      <c r="J552" s="4"/>
      <c r="K552" s="4"/>
      <c r="L552" s="6">
        <f t="shared" si="8"/>
        <v>0.2629864299823</v>
      </c>
      <c r="M552" s="4"/>
    </row>
    <row r="553" spans="1:13">
      <c r="A553" s="3">
        <v>45802</v>
      </c>
      <c r="B553" s="4" t="s">
        <v>2</v>
      </c>
      <c r="C553" s="4" t="s">
        <v>22</v>
      </c>
      <c r="D553" s="4" t="s">
        <v>27</v>
      </c>
      <c r="E553" s="4">
        <v>10</v>
      </c>
      <c r="F553" s="4">
        <v>46023</v>
      </c>
      <c r="G553" s="4">
        <v>460230</v>
      </c>
      <c r="H553" s="4">
        <v>114918</v>
      </c>
      <c r="I553" s="4"/>
      <c r="J553" s="4"/>
      <c r="K553" s="4"/>
      <c r="L553" s="6">
        <f t="shared" si="8"/>
        <v>4.00485563619276</v>
      </c>
      <c r="M553" s="4"/>
    </row>
    <row r="554" spans="1:13">
      <c r="A554" s="3">
        <v>45822</v>
      </c>
      <c r="B554" s="4" t="s">
        <v>3</v>
      </c>
      <c r="C554" s="4" t="s">
        <v>28</v>
      </c>
      <c r="D554" s="4" t="s">
        <v>29</v>
      </c>
      <c r="E554" s="4">
        <v>8</v>
      </c>
      <c r="F554" s="4">
        <v>23448</v>
      </c>
      <c r="G554" s="4">
        <v>187584</v>
      </c>
      <c r="H554" s="4">
        <v>63282</v>
      </c>
      <c r="I554" s="4"/>
      <c r="J554" s="4"/>
      <c r="K554" s="4"/>
      <c r="L554" s="6">
        <f t="shared" si="8"/>
        <v>2.96425523845643</v>
      </c>
      <c r="M554" s="4"/>
    </row>
    <row r="555" spans="1:13">
      <c r="A555" s="3">
        <v>45724</v>
      </c>
      <c r="B555" s="4" t="s">
        <v>7</v>
      </c>
      <c r="C555" s="4" t="s">
        <v>24</v>
      </c>
      <c r="D555" s="4" t="s">
        <v>33</v>
      </c>
      <c r="E555" s="4">
        <v>3</v>
      </c>
      <c r="F555" s="4">
        <v>44717</v>
      </c>
      <c r="G555" s="4">
        <v>134151</v>
      </c>
      <c r="H555" s="4">
        <v>168313</v>
      </c>
      <c r="I555" s="4"/>
      <c r="J555" s="4"/>
      <c r="K555" s="4"/>
      <c r="L555" s="6">
        <f t="shared" si="8"/>
        <v>0.797032908925633</v>
      </c>
      <c r="M555" s="4"/>
    </row>
    <row r="556" spans="1:13">
      <c r="A556" s="3">
        <v>45681</v>
      </c>
      <c r="B556" s="4" t="s">
        <v>3</v>
      </c>
      <c r="C556" s="4" t="s">
        <v>22</v>
      </c>
      <c r="D556" s="4" t="s">
        <v>29</v>
      </c>
      <c r="E556" s="4">
        <v>1</v>
      </c>
      <c r="F556" s="4">
        <v>7836</v>
      </c>
      <c r="G556" s="4">
        <v>7836</v>
      </c>
      <c r="H556" s="4">
        <v>108656</v>
      </c>
      <c r="I556" s="4"/>
      <c r="J556" s="4"/>
      <c r="K556" s="4"/>
      <c r="L556" s="6">
        <f t="shared" si="8"/>
        <v>0.0721175084670888</v>
      </c>
      <c r="M556" s="4"/>
    </row>
    <row r="557" spans="1:13">
      <c r="A557" s="3">
        <v>45759</v>
      </c>
      <c r="B557" s="4" t="s">
        <v>5</v>
      </c>
      <c r="C557" s="4" t="s">
        <v>22</v>
      </c>
      <c r="D557" s="4" t="s">
        <v>23</v>
      </c>
      <c r="E557" s="4">
        <v>1</v>
      </c>
      <c r="F557" s="4">
        <v>27035</v>
      </c>
      <c r="G557" s="4">
        <v>27035</v>
      </c>
      <c r="H557" s="4">
        <v>79469</v>
      </c>
      <c r="I557" s="4"/>
      <c r="J557" s="4"/>
      <c r="K557" s="4"/>
      <c r="L557" s="6">
        <f t="shared" si="8"/>
        <v>0.340195547949515</v>
      </c>
      <c r="M557" s="4"/>
    </row>
    <row r="558" spans="1:13">
      <c r="A558" s="3">
        <v>45773</v>
      </c>
      <c r="B558" s="4" t="s">
        <v>6</v>
      </c>
      <c r="C558" s="4" t="s">
        <v>28</v>
      </c>
      <c r="D558" s="4" t="s">
        <v>29</v>
      </c>
      <c r="E558" s="4">
        <v>7</v>
      </c>
      <c r="F558" s="4">
        <v>28039</v>
      </c>
      <c r="G558" s="4">
        <v>196273</v>
      </c>
      <c r="H558" s="4">
        <v>34234</v>
      </c>
      <c r="I558" s="4"/>
      <c r="J558" s="4"/>
      <c r="K558" s="4"/>
      <c r="L558" s="6">
        <f t="shared" si="8"/>
        <v>5.73327685926272</v>
      </c>
      <c r="M558" s="4"/>
    </row>
    <row r="559" spans="1:13">
      <c r="A559" s="3">
        <v>45758</v>
      </c>
      <c r="B559" s="4" t="s">
        <v>2</v>
      </c>
      <c r="C559" s="4" t="s">
        <v>28</v>
      </c>
      <c r="D559" s="4" t="s">
        <v>31</v>
      </c>
      <c r="E559" s="4">
        <v>2</v>
      </c>
      <c r="F559" s="4">
        <v>31327</v>
      </c>
      <c r="G559" s="4">
        <v>62654</v>
      </c>
      <c r="H559" s="4">
        <v>132500</v>
      </c>
      <c r="I559" s="4"/>
      <c r="J559" s="4"/>
      <c r="K559" s="4"/>
      <c r="L559" s="6">
        <f t="shared" si="8"/>
        <v>0.472860377358491</v>
      </c>
      <c r="M559" s="4"/>
    </row>
    <row r="560" spans="1:13">
      <c r="A560" s="3">
        <v>45695</v>
      </c>
      <c r="B560" s="4" t="s">
        <v>2</v>
      </c>
      <c r="C560" s="4" t="s">
        <v>26</v>
      </c>
      <c r="D560" s="4" t="s">
        <v>33</v>
      </c>
      <c r="E560" s="4">
        <v>5</v>
      </c>
      <c r="F560" s="4">
        <v>46447</v>
      </c>
      <c r="G560" s="4">
        <v>232235</v>
      </c>
      <c r="H560" s="4">
        <v>120253</v>
      </c>
      <c r="I560" s="4"/>
      <c r="J560" s="4"/>
      <c r="K560" s="4"/>
      <c r="L560" s="6">
        <f t="shared" si="8"/>
        <v>1.93122001114317</v>
      </c>
      <c r="M560" s="4"/>
    </row>
    <row r="561" spans="1:13">
      <c r="A561" s="3">
        <v>45702</v>
      </c>
      <c r="B561" s="4" t="s">
        <v>8</v>
      </c>
      <c r="C561" s="4" t="s">
        <v>26</v>
      </c>
      <c r="D561" s="4" t="s">
        <v>30</v>
      </c>
      <c r="E561" s="4">
        <v>7</v>
      </c>
      <c r="F561" s="4">
        <v>32372</v>
      </c>
      <c r="G561" s="4">
        <v>226604</v>
      </c>
      <c r="H561" s="4">
        <v>103670</v>
      </c>
      <c r="I561" s="4"/>
      <c r="J561" s="4"/>
      <c r="K561" s="4"/>
      <c r="L561" s="6">
        <f t="shared" si="8"/>
        <v>2.18582039162728</v>
      </c>
      <c r="M561" s="4"/>
    </row>
    <row r="562" spans="1:13">
      <c r="A562" s="3">
        <v>45660</v>
      </c>
      <c r="B562" s="4" t="s">
        <v>7</v>
      </c>
      <c r="C562" s="4" t="s">
        <v>22</v>
      </c>
      <c r="D562" s="4" t="s">
        <v>23</v>
      </c>
      <c r="E562" s="4">
        <v>7</v>
      </c>
      <c r="F562" s="4">
        <v>5262</v>
      </c>
      <c r="G562" s="4">
        <v>36834</v>
      </c>
      <c r="H562" s="4">
        <v>74329</v>
      </c>
      <c r="I562" s="4"/>
      <c r="J562" s="4"/>
      <c r="K562" s="4"/>
      <c r="L562" s="6">
        <f t="shared" si="8"/>
        <v>0.495553552449246</v>
      </c>
      <c r="M562" s="4"/>
    </row>
    <row r="563" spans="1:13">
      <c r="A563" s="3">
        <v>45749</v>
      </c>
      <c r="B563" s="4" t="s">
        <v>4</v>
      </c>
      <c r="C563" s="4" t="s">
        <v>22</v>
      </c>
      <c r="D563" s="4" t="s">
        <v>29</v>
      </c>
      <c r="E563" s="4">
        <v>7</v>
      </c>
      <c r="F563" s="4">
        <v>23656</v>
      </c>
      <c r="G563" s="4">
        <v>165592</v>
      </c>
      <c r="H563" s="4">
        <v>73261</v>
      </c>
      <c r="I563" s="4"/>
      <c r="J563" s="4"/>
      <c r="K563" s="4"/>
      <c r="L563" s="6">
        <f t="shared" si="8"/>
        <v>2.26030220717708</v>
      </c>
      <c r="M563" s="4"/>
    </row>
    <row r="564" spans="1:13">
      <c r="A564" s="3">
        <v>45748</v>
      </c>
      <c r="B564" s="4" t="s">
        <v>7</v>
      </c>
      <c r="C564" s="4" t="s">
        <v>24</v>
      </c>
      <c r="D564" s="4" t="s">
        <v>32</v>
      </c>
      <c r="E564" s="4">
        <v>8</v>
      </c>
      <c r="F564" s="4">
        <v>20752</v>
      </c>
      <c r="G564" s="4">
        <v>166016</v>
      </c>
      <c r="H564" s="4">
        <v>198197</v>
      </c>
      <c r="I564" s="4"/>
      <c r="J564" s="4"/>
      <c r="K564" s="4"/>
      <c r="L564" s="6">
        <f t="shared" si="8"/>
        <v>0.837631245679803</v>
      </c>
      <c r="M564" s="4"/>
    </row>
    <row r="565" spans="1:13">
      <c r="A565" s="3">
        <v>45661</v>
      </c>
      <c r="B565" s="4" t="s">
        <v>7</v>
      </c>
      <c r="C565" s="4" t="s">
        <v>22</v>
      </c>
      <c r="D565" s="4" t="s">
        <v>27</v>
      </c>
      <c r="E565" s="4">
        <v>7</v>
      </c>
      <c r="F565" s="4">
        <v>48325</v>
      </c>
      <c r="G565" s="4">
        <v>338275</v>
      </c>
      <c r="H565" s="4">
        <v>164179</v>
      </c>
      <c r="I565" s="4"/>
      <c r="J565" s="4"/>
      <c r="K565" s="4"/>
      <c r="L565" s="6">
        <f t="shared" si="8"/>
        <v>2.06040358389319</v>
      </c>
      <c r="M565" s="4"/>
    </row>
    <row r="566" spans="1:13">
      <c r="A566" s="3">
        <v>45786</v>
      </c>
      <c r="B566" s="4" t="s">
        <v>8</v>
      </c>
      <c r="C566" s="4" t="s">
        <v>24</v>
      </c>
      <c r="D566" s="4" t="s">
        <v>27</v>
      </c>
      <c r="E566" s="4">
        <v>2</v>
      </c>
      <c r="F566" s="4">
        <v>7993</v>
      </c>
      <c r="G566" s="4">
        <v>15986</v>
      </c>
      <c r="H566" s="4">
        <v>2298</v>
      </c>
      <c r="I566" s="4"/>
      <c r="J566" s="4"/>
      <c r="K566" s="4"/>
      <c r="L566" s="6">
        <f t="shared" si="8"/>
        <v>6.95648389904265</v>
      </c>
      <c r="M566" s="4"/>
    </row>
    <row r="567" spans="1:13">
      <c r="A567" s="3">
        <v>45742</v>
      </c>
      <c r="B567" s="4" t="s">
        <v>7</v>
      </c>
      <c r="C567" s="4" t="s">
        <v>22</v>
      </c>
      <c r="D567" s="4" t="s">
        <v>32</v>
      </c>
      <c r="E567" s="4">
        <v>7</v>
      </c>
      <c r="F567" s="4">
        <v>46398</v>
      </c>
      <c r="G567" s="4">
        <v>324786</v>
      </c>
      <c r="H567" s="4">
        <v>187764</v>
      </c>
      <c r="I567" s="4"/>
      <c r="J567" s="4"/>
      <c r="K567" s="4"/>
      <c r="L567" s="6">
        <f t="shared" si="8"/>
        <v>1.729756502844</v>
      </c>
      <c r="M567" s="4"/>
    </row>
    <row r="568" spans="1:13">
      <c r="A568" s="3">
        <v>45718</v>
      </c>
      <c r="B568" s="4" t="s">
        <v>6</v>
      </c>
      <c r="C568" s="4" t="s">
        <v>22</v>
      </c>
      <c r="D568" s="4" t="s">
        <v>29</v>
      </c>
      <c r="E568" s="4">
        <v>6</v>
      </c>
      <c r="F568" s="4">
        <v>32604</v>
      </c>
      <c r="G568" s="4">
        <v>195624</v>
      </c>
      <c r="H568" s="4">
        <v>13630</v>
      </c>
      <c r="I568" s="4"/>
      <c r="J568" s="4"/>
      <c r="K568" s="4"/>
      <c r="L568" s="6">
        <f t="shared" si="8"/>
        <v>14.3524578136464</v>
      </c>
      <c r="M568" s="4"/>
    </row>
    <row r="569" spans="1:13">
      <c r="A569" s="3">
        <v>45706</v>
      </c>
      <c r="B569" s="4" t="s">
        <v>7</v>
      </c>
      <c r="C569" s="4" t="s">
        <v>22</v>
      </c>
      <c r="D569" s="4" t="s">
        <v>32</v>
      </c>
      <c r="E569" s="4">
        <v>3</v>
      </c>
      <c r="F569" s="4">
        <v>44070</v>
      </c>
      <c r="G569" s="4">
        <v>132210</v>
      </c>
      <c r="H569" s="4">
        <v>7420</v>
      </c>
      <c r="I569" s="4"/>
      <c r="J569" s="4"/>
      <c r="K569" s="4"/>
      <c r="L569" s="6">
        <f t="shared" si="8"/>
        <v>17.8180592991914</v>
      </c>
      <c r="M569" s="4"/>
    </row>
    <row r="570" spans="1:13">
      <c r="A570" s="3">
        <v>45711</v>
      </c>
      <c r="B570" s="4" t="s">
        <v>8</v>
      </c>
      <c r="C570" s="4" t="s">
        <v>22</v>
      </c>
      <c r="D570" s="4" t="s">
        <v>31</v>
      </c>
      <c r="E570" s="4">
        <v>6</v>
      </c>
      <c r="F570" s="4">
        <v>3171</v>
      </c>
      <c r="G570" s="4">
        <v>19026</v>
      </c>
      <c r="H570" s="4">
        <v>82085</v>
      </c>
      <c r="I570" s="4"/>
      <c r="J570" s="4"/>
      <c r="K570" s="4"/>
      <c r="L570" s="6">
        <f t="shared" si="8"/>
        <v>0.231784126210635</v>
      </c>
      <c r="M570" s="4"/>
    </row>
    <row r="571" spans="1:13">
      <c r="A571" s="3">
        <v>45815</v>
      </c>
      <c r="B571" s="4" t="s">
        <v>8</v>
      </c>
      <c r="C571" s="4" t="s">
        <v>24</v>
      </c>
      <c r="D571" s="4" t="s">
        <v>33</v>
      </c>
      <c r="E571" s="4">
        <v>5</v>
      </c>
      <c r="F571" s="4">
        <v>30610</v>
      </c>
      <c r="G571" s="4">
        <v>153050</v>
      </c>
      <c r="H571" s="4">
        <v>127222</v>
      </c>
      <c r="I571" s="4"/>
      <c r="J571" s="4"/>
      <c r="K571" s="4"/>
      <c r="L571" s="6">
        <f t="shared" si="8"/>
        <v>1.20301520177328</v>
      </c>
      <c r="M571" s="4"/>
    </row>
    <row r="572" spans="1:13">
      <c r="A572" s="3">
        <v>45795</v>
      </c>
      <c r="B572" s="4" t="s">
        <v>6</v>
      </c>
      <c r="C572" s="4" t="s">
        <v>24</v>
      </c>
      <c r="D572" s="4" t="s">
        <v>32</v>
      </c>
      <c r="E572" s="4">
        <v>1</v>
      </c>
      <c r="F572" s="4">
        <v>37639</v>
      </c>
      <c r="G572" s="4">
        <v>37639</v>
      </c>
      <c r="H572" s="4">
        <v>155489</v>
      </c>
      <c r="I572" s="4"/>
      <c r="J572" s="4"/>
      <c r="K572" s="4"/>
      <c r="L572" s="6">
        <f t="shared" si="8"/>
        <v>0.242068570767064</v>
      </c>
      <c r="M572" s="4"/>
    </row>
    <row r="573" spans="1:13">
      <c r="A573" s="3">
        <v>45766</v>
      </c>
      <c r="B573" s="4" t="s">
        <v>7</v>
      </c>
      <c r="C573" s="4" t="s">
        <v>26</v>
      </c>
      <c r="D573" s="4" t="s">
        <v>31</v>
      </c>
      <c r="E573" s="4">
        <v>6</v>
      </c>
      <c r="F573" s="4">
        <v>22519</v>
      </c>
      <c r="G573" s="4">
        <v>135114</v>
      </c>
      <c r="H573" s="4">
        <v>156417</v>
      </c>
      <c r="I573" s="4"/>
      <c r="J573" s="4"/>
      <c r="K573" s="4"/>
      <c r="L573" s="6">
        <f t="shared" si="8"/>
        <v>0.863806363758415</v>
      </c>
      <c r="M573" s="4"/>
    </row>
    <row r="574" spans="1:13">
      <c r="A574" s="3">
        <v>45728</v>
      </c>
      <c r="B574" s="4" t="s">
        <v>6</v>
      </c>
      <c r="C574" s="4" t="s">
        <v>28</v>
      </c>
      <c r="D574" s="4" t="s">
        <v>23</v>
      </c>
      <c r="E574" s="4">
        <v>3</v>
      </c>
      <c r="F574" s="4">
        <v>4820</v>
      </c>
      <c r="G574" s="4">
        <v>14460</v>
      </c>
      <c r="H574" s="4">
        <v>193278</v>
      </c>
      <c r="I574" s="4"/>
      <c r="J574" s="4"/>
      <c r="K574" s="4"/>
      <c r="L574" s="6">
        <f t="shared" si="8"/>
        <v>0.0748145158786825</v>
      </c>
      <c r="M574" s="4"/>
    </row>
    <row r="575" spans="1:13">
      <c r="A575" s="3">
        <v>45744</v>
      </c>
      <c r="B575" s="4" t="s">
        <v>2</v>
      </c>
      <c r="C575" s="4" t="s">
        <v>28</v>
      </c>
      <c r="D575" s="4" t="s">
        <v>25</v>
      </c>
      <c r="E575" s="4">
        <v>8</v>
      </c>
      <c r="F575" s="4">
        <v>5854</v>
      </c>
      <c r="G575" s="4">
        <v>46832</v>
      </c>
      <c r="H575" s="4">
        <v>86687</v>
      </c>
      <c r="I575" s="4"/>
      <c r="J575" s="4"/>
      <c r="K575" s="4"/>
      <c r="L575" s="6">
        <f t="shared" si="8"/>
        <v>0.540242481571631</v>
      </c>
      <c r="M575" s="4"/>
    </row>
    <row r="576" spans="1:13">
      <c r="A576" s="3">
        <v>45801</v>
      </c>
      <c r="B576" s="4" t="s">
        <v>5</v>
      </c>
      <c r="C576" s="4" t="s">
        <v>22</v>
      </c>
      <c r="D576" s="4" t="s">
        <v>31</v>
      </c>
      <c r="E576" s="4">
        <v>3</v>
      </c>
      <c r="F576" s="4">
        <v>26689</v>
      </c>
      <c r="G576" s="4">
        <v>80067</v>
      </c>
      <c r="H576" s="4">
        <v>138081</v>
      </c>
      <c r="I576" s="4"/>
      <c r="J576" s="4"/>
      <c r="K576" s="4"/>
      <c r="L576" s="6">
        <f t="shared" si="8"/>
        <v>0.57985530232255</v>
      </c>
      <c r="M576" s="4"/>
    </row>
    <row r="577" spans="1:13">
      <c r="A577" s="3">
        <v>45751</v>
      </c>
      <c r="B577" s="4" t="s">
        <v>8</v>
      </c>
      <c r="C577" s="4" t="s">
        <v>24</v>
      </c>
      <c r="D577" s="4" t="s">
        <v>27</v>
      </c>
      <c r="E577" s="4">
        <v>10</v>
      </c>
      <c r="F577" s="4">
        <v>39613</v>
      </c>
      <c r="G577" s="4">
        <v>396130</v>
      </c>
      <c r="H577" s="4">
        <v>114776</v>
      </c>
      <c r="I577" s="4"/>
      <c r="J577" s="4"/>
      <c r="K577" s="4"/>
      <c r="L577" s="6">
        <f t="shared" si="8"/>
        <v>3.45133128877117</v>
      </c>
      <c r="M577" s="4"/>
    </row>
    <row r="578" spans="1:13">
      <c r="A578" s="3">
        <v>45684</v>
      </c>
      <c r="B578" s="4" t="s">
        <v>8</v>
      </c>
      <c r="C578" s="4" t="s">
        <v>24</v>
      </c>
      <c r="D578" s="4" t="s">
        <v>30</v>
      </c>
      <c r="E578" s="4">
        <v>5</v>
      </c>
      <c r="F578" s="4">
        <v>23392</v>
      </c>
      <c r="G578" s="4">
        <v>116960</v>
      </c>
      <c r="H578" s="4">
        <v>93172</v>
      </c>
      <c r="I578" s="4"/>
      <c r="J578" s="4"/>
      <c r="K578" s="4"/>
      <c r="L578" s="6">
        <f t="shared" si="8"/>
        <v>1.25531275490491</v>
      </c>
      <c r="M578" s="4"/>
    </row>
    <row r="579" spans="1:13">
      <c r="A579" s="3">
        <v>45724</v>
      </c>
      <c r="B579" s="4" t="s">
        <v>6</v>
      </c>
      <c r="C579" s="4" t="s">
        <v>28</v>
      </c>
      <c r="D579" s="4" t="s">
        <v>25</v>
      </c>
      <c r="E579" s="4">
        <v>1</v>
      </c>
      <c r="F579" s="4">
        <v>29601</v>
      </c>
      <c r="G579" s="4">
        <v>29601</v>
      </c>
      <c r="H579" s="4">
        <v>41240</v>
      </c>
      <c r="I579" s="4"/>
      <c r="J579" s="4"/>
      <c r="K579" s="4"/>
      <c r="L579" s="6">
        <f t="shared" ref="L579:L642" si="9">G579/H579</f>
        <v>0.717774005819593</v>
      </c>
      <c r="M579" s="4"/>
    </row>
    <row r="580" spans="1:13">
      <c r="A580" s="3">
        <v>45728</v>
      </c>
      <c r="B580" s="4" t="s">
        <v>8</v>
      </c>
      <c r="C580" s="4" t="s">
        <v>24</v>
      </c>
      <c r="D580" s="4" t="s">
        <v>31</v>
      </c>
      <c r="E580" s="4">
        <v>7</v>
      </c>
      <c r="F580" s="4">
        <v>38478</v>
      </c>
      <c r="G580" s="4">
        <v>269346</v>
      </c>
      <c r="H580" s="4">
        <v>42685</v>
      </c>
      <c r="I580" s="4"/>
      <c r="J580" s="4"/>
      <c r="K580" s="4"/>
      <c r="L580" s="6">
        <f t="shared" si="9"/>
        <v>6.31008551013236</v>
      </c>
      <c r="M580" s="4"/>
    </row>
    <row r="581" spans="1:13">
      <c r="A581" s="3">
        <v>45812</v>
      </c>
      <c r="B581" s="4" t="s">
        <v>5</v>
      </c>
      <c r="C581" s="4" t="s">
        <v>22</v>
      </c>
      <c r="D581" s="4" t="s">
        <v>33</v>
      </c>
      <c r="E581" s="4">
        <v>9</v>
      </c>
      <c r="F581" s="4">
        <v>20630</v>
      </c>
      <c r="G581" s="4">
        <v>185670</v>
      </c>
      <c r="H581" s="4">
        <v>148210</v>
      </c>
      <c r="I581" s="4"/>
      <c r="J581" s="4"/>
      <c r="K581" s="4"/>
      <c r="L581" s="6">
        <f t="shared" si="9"/>
        <v>1.25274947709331</v>
      </c>
      <c r="M581" s="4"/>
    </row>
    <row r="582" spans="1:13">
      <c r="A582" s="3">
        <v>45821</v>
      </c>
      <c r="B582" s="4" t="s">
        <v>6</v>
      </c>
      <c r="C582" s="4" t="s">
        <v>28</v>
      </c>
      <c r="D582" s="4" t="s">
        <v>33</v>
      </c>
      <c r="E582" s="4">
        <v>9</v>
      </c>
      <c r="F582" s="4">
        <v>22582</v>
      </c>
      <c r="G582" s="4">
        <v>203238</v>
      </c>
      <c r="H582" s="4">
        <v>123984</v>
      </c>
      <c r="I582" s="4"/>
      <c r="J582" s="4"/>
      <c r="K582" s="4"/>
      <c r="L582" s="6">
        <f t="shared" si="9"/>
        <v>1.63922764227642</v>
      </c>
      <c r="M582" s="4"/>
    </row>
    <row r="583" spans="1:13">
      <c r="A583" s="3">
        <v>45746</v>
      </c>
      <c r="B583" s="4" t="s">
        <v>5</v>
      </c>
      <c r="C583" s="4" t="s">
        <v>24</v>
      </c>
      <c r="D583" s="4" t="s">
        <v>27</v>
      </c>
      <c r="E583" s="4">
        <v>7</v>
      </c>
      <c r="F583" s="4">
        <v>5847</v>
      </c>
      <c r="G583" s="4">
        <v>40929</v>
      </c>
      <c r="H583" s="4">
        <v>141615</v>
      </c>
      <c r="I583" s="4"/>
      <c r="J583" s="4"/>
      <c r="K583" s="4"/>
      <c r="L583" s="6">
        <f t="shared" si="9"/>
        <v>0.289015994068425</v>
      </c>
      <c r="M583" s="4"/>
    </row>
    <row r="584" spans="1:13">
      <c r="A584" s="3">
        <v>45715</v>
      </c>
      <c r="B584" s="4" t="s">
        <v>5</v>
      </c>
      <c r="C584" s="4" t="s">
        <v>28</v>
      </c>
      <c r="D584" s="4" t="s">
        <v>33</v>
      </c>
      <c r="E584" s="4">
        <v>1</v>
      </c>
      <c r="F584" s="4">
        <v>1906</v>
      </c>
      <c r="G584" s="4">
        <v>1906</v>
      </c>
      <c r="H584" s="4">
        <v>69345</v>
      </c>
      <c r="I584" s="4"/>
      <c r="J584" s="4"/>
      <c r="K584" s="4"/>
      <c r="L584" s="6">
        <f t="shared" si="9"/>
        <v>0.0274857596077583</v>
      </c>
      <c r="M584" s="4"/>
    </row>
    <row r="585" spans="1:13">
      <c r="A585" s="3">
        <v>45834</v>
      </c>
      <c r="B585" s="4" t="s">
        <v>4</v>
      </c>
      <c r="C585" s="4" t="s">
        <v>28</v>
      </c>
      <c r="D585" s="4" t="s">
        <v>31</v>
      </c>
      <c r="E585" s="4">
        <v>10</v>
      </c>
      <c r="F585" s="4">
        <v>21137</v>
      </c>
      <c r="G585" s="4">
        <v>211370</v>
      </c>
      <c r="H585" s="4">
        <v>40081</v>
      </c>
      <c r="I585" s="4"/>
      <c r="J585" s="4"/>
      <c r="K585" s="4"/>
      <c r="L585" s="6">
        <f t="shared" si="9"/>
        <v>5.27357101868716</v>
      </c>
      <c r="M585" s="4"/>
    </row>
    <row r="586" spans="1:13">
      <c r="A586" s="3">
        <v>45770</v>
      </c>
      <c r="B586" s="4" t="s">
        <v>4</v>
      </c>
      <c r="C586" s="4" t="s">
        <v>22</v>
      </c>
      <c r="D586" s="4" t="s">
        <v>31</v>
      </c>
      <c r="E586" s="4">
        <v>2</v>
      </c>
      <c r="F586" s="4">
        <v>981</v>
      </c>
      <c r="G586" s="4">
        <v>1962</v>
      </c>
      <c r="H586" s="4">
        <v>3165</v>
      </c>
      <c r="I586" s="4"/>
      <c r="J586" s="4"/>
      <c r="K586" s="4"/>
      <c r="L586" s="6">
        <f t="shared" si="9"/>
        <v>0.619905213270142</v>
      </c>
      <c r="M586" s="4"/>
    </row>
    <row r="587" spans="1:13">
      <c r="A587" s="3">
        <v>45808</v>
      </c>
      <c r="B587" s="4" t="s">
        <v>7</v>
      </c>
      <c r="C587" s="4" t="s">
        <v>22</v>
      </c>
      <c r="D587" s="4" t="s">
        <v>29</v>
      </c>
      <c r="E587" s="4">
        <v>8</v>
      </c>
      <c r="F587" s="4">
        <v>38050</v>
      </c>
      <c r="G587" s="4">
        <v>304400</v>
      </c>
      <c r="H587" s="4">
        <v>81761</v>
      </c>
      <c r="I587" s="4"/>
      <c r="J587" s="4"/>
      <c r="K587" s="4"/>
      <c r="L587" s="6">
        <f t="shared" si="9"/>
        <v>3.72304644023434</v>
      </c>
      <c r="M587" s="4"/>
    </row>
    <row r="588" spans="1:13">
      <c r="A588" s="3">
        <v>45836</v>
      </c>
      <c r="B588" s="4" t="s">
        <v>6</v>
      </c>
      <c r="C588" s="4" t="s">
        <v>26</v>
      </c>
      <c r="D588" s="4" t="s">
        <v>25</v>
      </c>
      <c r="E588" s="4">
        <v>2</v>
      </c>
      <c r="F588" s="4">
        <v>41301</v>
      </c>
      <c r="G588" s="4">
        <v>82602</v>
      </c>
      <c r="H588" s="4">
        <v>35425</v>
      </c>
      <c r="I588" s="4"/>
      <c r="J588" s="4"/>
      <c r="K588" s="4"/>
      <c r="L588" s="6">
        <f t="shared" si="9"/>
        <v>2.33174311926606</v>
      </c>
      <c r="M588" s="4"/>
    </row>
    <row r="589" spans="1:13">
      <c r="A589" s="3">
        <v>45722</v>
      </c>
      <c r="B589" s="4" t="s">
        <v>5</v>
      </c>
      <c r="C589" s="4" t="s">
        <v>28</v>
      </c>
      <c r="D589" s="4" t="s">
        <v>23</v>
      </c>
      <c r="E589" s="4">
        <v>6</v>
      </c>
      <c r="F589" s="4">
        <v>17673</v>
      </c>
      <c r="G589" s="4">
        <v>106038</v>
      </c>
      <c r="H589" s="4">
        <v>141863</v>
      </c>
      <c r="I589" s="4"/>
      <c r="J589" s="4"/>
      <c r="K589" s="4"/>
      <c r="L589" s="6">
        <f t="shared" si="9"/>
        <v>0.747467627217809</v>
      </c>
      <c r="M589" s="4"/>
    </row>
    <row r="590" spans="1:13">
      <c r="A590" s="3">
        <v>45775</v>
      </c>
      <c r="B590" s="4" t="s">
        <v>5</v>
      </c>
      <c r="C590" s="4" t="s">
        <v>24</v>
      </c>
      <c r="D590" s="4" t="s">
        <v>33</v>
      </c>
      <c r="E590" s="4">
        <v>9</v>
      </c>
      <c r="F590" s="4">
        <v>29399</v>
      </c>
      <c r="G590" s="4">
        <v>264591</v>
      </c>
      <c r="H590" s="4">
        <v>164001</v>
      </c>
      <c r="I590" s="4"/>
      <c r="J590" s="4"/>
      <c r="K590" s="4"/>
      <c r="L590" s="6">
        <f t="shared" si="9"/>
        <v>1.61334991859806</v>
      </c>
      <c r="M590" s="4"/>
    </row>
    <row r="591" spans="1:13">
      <c r="A591" s="3">
        <v>45805</v>
      </c>
      <c r="B591" s="4" t="s">
        <v>3</v>
      </c>
      <c r="C591" s="4" t="s">
        <v>24</v>
      </c>
      <c r="D591" s="4" t="s">
        <v>25</v>
      </c>
      <c r="E591" s="4">
        <v>2</v>
      </c>
      <c r="F591" s="4">
        <v>12503</v>
      </c>
      <c r="G591" s="4">
        <v>25006</v>
      </c>
      <c r="H591" s="4">
        <v>63097</v>
      </c>
      <c r="I591" s="4"/>
      <c r="J591" s="4"/>
      <c r="K591" s="4"/>
      <c r="L591" s="6">
        <f t="shared" si="9"/>
        <v>0.39631044265179</v>
      </c>
      <c r="M591" s="4"/>
    </row>
    <row r="592" spans="1:13">
      <c r="A592" s="3">
        <v>45825</v>
      </c>
      <c r="B592" s="4" t="s">
        <v>5</v>
      </c>
      <c r="C592" s="4" t="s">
        <v>22</v>
      </c>
      <c r="D592" s="4" t="s">
        <v>23</v>
      </c>
      <c r="E592" s="4">
        <v>5</v>
      </c>
      <c r="F592" s="4">
        <v>13954</v>
      </c>
      <c r="G592" s="4">
        <v>69770</v>
      </c>
      <c r="H592" s="4">
        <v>36251</v>
      </c>
      <c r="I592" s="4"/>
      <c r="J592" s="4"/>
      <c r="K592" s="4"/>
      <c r="L592" s="6">
        <f t="shared" si="9"/>
        <v>1.92463656175002</v>
      </c>
      <c r="M592" s="4"/>
    </row>
    <row r="593" spans="1:13">
      <c r="A593" s="3">
        <v>45836</v>
      </c>
      <c r="B593" s="4" t="s">
        <v>8</v>
      </c>
      <c r="C593" s="4" t="s">
        <v>22</v>
      </c>
      <c r="D593" s="4" t="s">
        <v>33</v>
      </c>
      <c r="E593" s="4">
        <v>4</v>
      </c>
      <c r="F593" s="4">
        <v>38148</v>
      </c>
      <c r="G593" s="4">
        <v>152592</v>
      </c>
      <c r="H593" s="4">
        <v>155993</v>
      </c>
      <c r="I593" s="4"/>
      <c r="J593" s="4"/>
      <c r="K593" s="4"/>
      <c r="L593" s="6">
        <f t="shared" si="9"/>
        <v>0.978197739642163</v>
      </c>
      <c r="M593" s="4"/>
    </row>
    <row r="594" spans="1:13">
      <c r="A594" s="3">
        <v>45766</v>
      </c>
      <c r="B594" s="4" t="s">
        <v>4</v>
      </c>
      <c r="C594" s="4" t="s">
        <v>28</v>
      </c>
      <c r="D594" s="4" t="s">
        <v>31</v>
      </c>
      <c r="E594" s="4">
        <v>2</v>
      </c>
      <c r="F594" s="4">
        <v>36631</v>
      </c>
      <c r="G594" s="4">
        <v>73262</v>
      </c>
      <c r="H594" s="4">
        <v>173295</v>
      </c>
      <c r="I594" s="4"/>
      <c r="J594" s="4"/>
      <c r="K594" s="4"/>
      <c r="L594" s="6">
        <f t="shared" si="9"/>
        <v>0.422758879367552</v>
      </c>
      <c r="M594" s="4"/>
    </row>
    <row r="595" spans="1:13">
      <c r="A595" s="3">
        <v>45804</v>
      </c>
      <c r="B595" s="4" t="s">
        <v>4</v>
      </c>
      <c r="C595" s="4" t="s">
        <v>28</v>
      </c>
      <c r="D595" s="4" t="s">
        <v>32</v>
      </c>
      <c r="E595" s="4">
        <v>2</v>
      </c>
      <c r="F595" s="4">
        <v>26062</v>
      </c>
      <c r="G595" s="4">
        <v>52124</v>
      </c>
      <c r="H595" s="4">
        <v>102363</v>
      </c>
      <c r="I595" s="4"/>
      <c r="J595" s="4"/>
      <c r="K595" s="4"/>
      <c r="L595" s="6">
        <f t="shared" si="9"/>
        <v>0.509207428465363</v>
      </c>
      <c r="M595" s="4"/>
    </row>
    <row r="596" spans="1:13">
      <c r="A596" s="3">
        <v>45821</v>
      </c>
      <c r="B596" s="4" t="s">
        <v>6</v>
      </c>
      <c r="C596" s="4" t="s">
        <v>24</v>
      </c>
      <c r="D596" s="4" t="s">
        <v>29</v>
      </c>
      <c r="E596" s="4">
        <v>6</v>
      </c>
      <c r="F596" s="4">
        <v>21128</v>
      </c>
      <c r="G596" s="4">
        <v>126768</v>
      </c>
      <c r="H596" s="4">
        <v>84627</v>
      </c>
      <c r="I596" s="4"/>
      <c r="J596" s="4"/>
      <c r="K596" s="4"/>
      <c r="L596" s="6">
        <f t="shared" si="9"/>
        <v>1.49796164344713</v>
      </c>
      <c r="M596" s="4"/>
    </row>
    <row r="597" spans="1:13">
      <c r="A597" s="3">
        <v>45697</v>
      </c>
      <c r="B597" s="4" t="s">
        <v>7</v>
      </c>
      <c r="C597" s="4" t="s">
        <v>24</v>
      </c>
      <c r="D597" s="4" t="s">
        <v>32</v>
      </c>
      <c r="E597" s="4">
        <v>1</v>
      </c>
      <c r="F597" s="4">
        <v>9643</v>
      </c>
      <c r="G597" s="4">
        <v>9643</v>
      </c>
      <c r="H597" s="4">
        <v>15299</v>
      </c>
      <c r="I597" s="4"/>
      <c r="J597" s="4"/>
      <c r="K597" s="4"/>
      <c r="L597" s="6">
        <f t="shared" si="9"/>
        <v>0.630302634159095</v>
      </c>
      <c r="M597" s="4"/>
    </row>
    <row r="598" spans="1:13">
      <c r="A598" s="3">
        <v>45809</v>
      </c>
      <c r="B598" s="4" t="s">
        <v>2</v>
      </c>
      <c r="C598" s="4" t="s">
        <v>26</v>
      </c>
      <c r="D598" s="4" t="s">
        <v>31</v>
      </c>
      <c r="E598" s="4">
        <v>7</v>
      </c>
      <c r="F598" s="4">
        <v>29563</v>
      </c>
      <c r="G598" s="4">
        <v>206941</v>
      </c>
      <c r="H598" s="4">
        <v>125231</v>
      </c>
      <c r="I598" s="4"/>
      <c r="J598" s="4"/>
      <c r="K598" s="4"/>
      <c r="L598" s="6">
        <f t="shared" si="9"/>
        <v>1.65247422762734</v>
      </c>
      <c r="M598" s="4"/>
    </row>
    <row r="599" spans="1:13">
      <c r="A599" s="3">
        <v>45782</v>
      </c>
      <c r="B599" s="4" t="s">
        <v>5</v>
      </c>
      <c r="C599" s="4" t="s">
        <v>28</v>
      </c>
      <c r="D599" s="4" t="s">
        <v>23</v>
      </c>
      <c r="E599" s="4">
        <v>3</v>
      </c>
      <c r="F599" s="4">
        <v>1773</v>
      </c>
      <c r="G599" s="4">
        <v>5319</v>
      </c>
      <c r="H599" s="4">
        <v>160805</v>
      </c>
      <c r="I599" s="4"/>
      <c r="J599" s="4"/>
      <c r="K599" s="4"/>
      <c r="L599" s="6">
        <f t="shared" si="9"/>
        <v>0.0330773296850222</v>
      </c>
      <c r="M599" s="4"/>
    </row>
    <row r="600" spans="1:13">
      <c r="A600" s="3">
        <v>45678</v>
      </c>
      <c r="B600" s="4" t="s">
        <v>3</v>
      </c>
      <c r="C600" s="4" t="s">
        <v>22</v>
      </c>
      <c r="D600" s="4" t="s">
        <v>32</v>
      </c>
      <c r="E600" s="4">
        <v>9</v>
      </c>
      <c r="F600" s="4">
        <v>33290</v>
      </c>
      <c r="G600" s="4">
        <v>299610</v>
      </c>
      <c r="H600" s="4">
        <v>55137</v>
      </c>
      <c r="I600" s="4"/>
      <c r="J600" s="4"/>
      <c r="K600" s="4"/>
      <c r="L600" s="6">
        <f t="shared" si="9"/>
        <v>5.43391914685239</v>
      </c>
      <c r="M600" s="4"/>
    </row>
    <row r="601" spans="1:13">
      <c r="A601" s="3">
        <v>45676</v>
      </c>
      <c r="B601" s="4" t="s">
        <v>3</v>
      </c>
      <c r="C601" s="4" t="s">
        <v>28</v>
      </c>
      <c r="D601" s="4" t="s">
        <v>31</v>
      </c>
      <c r="E601" s="4">
        <v>1</v>
      </c>
      <c r="F601" s="4">
        <v>28363</v>
      </c>
      <c r="G601" s="4">
        <v>28363</v>
      </c>
      <c r="H601" s="4">
        <v>96150</v>
      </c>
      <c r="I601" s="4"/>
      <c r="J601" s="4"/>
      <c r="K601" s="4"/>
      <c r="L601" s="6">
        <f t="shared" si="9"/>
        <v>0.294986999479979</v>
      </c>
      <c r="M601" s="4"/>
    </row>
    <row r="602" spans="1:13">
      <c r="A602" s="3">
        <v>45772</v>
      </c>
      <c r="B602" s="4" t="s">
        <v>8</v>
      </c>
      <c r="C602" s="4" t="s">
        <v>22</v>
      </c>
      <c r="D602" s="4" t="s">
        <v>30</v>
      </c>
      <c r="E602" s="4">
        <v>4</v>
      </c>
      <c r="F602" s="4">
        <v>2657</v>
      </c>
      <c r="G602" s="4">
        <v>10628</v>
      </c>
      <c r="H602" s="4">
        <v>2509</v>
      </c>
      <c r="I602" s="4"/>
      <c r="J602" s="4"/>
      <c r="K602" s="4"/>
      <c r="L602" s="6">
        <f t="shared" si="9"/>
        <v>4.23595057791949</v>
      </c>
      <c r="M602" s="4"/>
    </row>
    <row r="603" spans="1:13">
      <c r="A603" s="3">
        <v>45833</v>
      </c>
      <c r="B603" s="4" t="s">
        <v>3</v>
      </c>
      <c r="C603" s="4" t="s">
        <v>22</v>
      </c>
      <c r="D603" s="4" t="s">
        <v>23</v>
      </c>
      <c r="E603" s="4">
        <v>3</v>
      </c>
      <c r="F603" s="4">
        <v>13127</v>
      </c>
      <c r="G603" s="4">
        <v>39381</v>
      </c>
      <c r="H603" s="4">
        <v>142656</v>
      </c>
      <c r="I603" s="4"/>
      <c r="J603" s="4"/>
      <c r="K603" s="4"/>
      <c r="L603" s="6">
        <f t="shared" si="9"/>
        <v>0.27605568640646</v>
      </c>
      <c r="M603" s="4"/>
    </row>
    <row r="604" spans="1:13">
      <c r="A604" s="3">
        <v>45679</v>
      </c>
      <c r="B604" s="4" t="s">
        <v>2</v>
      </c>
      <c r="C604" s="4" t="s">
        <v>22</v>
      </c>
      <c r="D604" s="4" t="s">
        <v>25</v>
      </c>
      <c r="E604" s="4">
        <v>1</v>
      </c>
      <c r="F604" s="4">
        <v>44308</v>
      </c>
      <c r="G604" s="4">
        <v>44308</v>
      </c>
      <c r="H604" s="4">
        <v>2916</v>
      </c>
      <c r="I604" s="4"/>
      <c r="J604" s="4"/>
      <c r="K604" s="4"/>
      <c r="L604" s="6">
        <f t="shared" si="9"/>
        <v>15.1947873799726</v>
      </c>
      <c r="M604" s="4"/>
    </row>
    <row r="605" spans="1:13">
      <c r="A605" s="3">
        <v>45758</v>
      </c>
      <c r="B605" s="4" t="s">
        <v>6</v>
      </c>
      <c r="C605" s="4" t="s">
        <v>22</v>
      </c>
      <c r="D605" s="4" t="s">
        <v>33</v>
      </c>
      <c r="E605" s="4">
        <v>1</v>
      </c>
      <c r="F605" s="4">
        <v>37409</v>
      </c>
      <c r="G605" s="4">
        <v>37409</v>
      </c>
      <c r="H605" s="4">
        <v>76539</v>
      </c>
      <c r="I605" s="4"/>
      <c r="J605" s="4"/>
      <c r="K605" s="4"/>
      <c r="L605" s="6">
        <f t="shared" si="9"/>
        <v>0.488757365526072</v>
      </c>
      <c r="M605" s="4"/>
    </row>
    <row r="606" spans="1:13">
      <c r="A606" s="3">
        <v>45728</v>
      </c>
      <c r="B606" s="4" t="s">
        <v>8</v>
      </c>
      <c r="C606" s="4" t="s">
        <v>22</v>
      </c>
      <c r="D606" s="4" t="s">
        <v>31</v>
      </c>
      <c r="E606" s="4">
        <v>3</v>
      </c>
      <c r="F606" s="4">
        <v>25271</v>
      </c>
      <c r="G606" s="4">
        <v>75813</v>
      </c>
      <c r="H606" s="4">
        <v>185441</v>
      </c>
      <c r="I606" s="4"/>
      <c r="J606" s="4"/>
      <c r="K606" s="4"/>
      <c r="L606" s="6">
        <f t="shared" si="9"/>
        <v>0.408825448525407</v>
      </c>
      <c r="M606" s="4"/>
    </row>
    <row r="607" spans="1:13">
      <c r="A607" s="3">
        <v>45778</v>
      </c>
      <c r="B607" s="4" t="s">
        <v>8</v>
      </c>
      <c r="C607" s="4" t="s">
        <v>26</v>
      </c>
      <c r="D607" s="4" t="s">
        <v>25</v>
      </c>
      <c r="E607" s="4">
        <v>9</v>
      </c>
      <c r="F607" s="4">
        <v>26065</v>
      </c>
      <c r="G607" s="4">
        <v>234585</v>
      </c>
      <c r="H607" s="4">
        <v>138107</v>
      </c>
      <c r="I607" s="4"/>
      <c r="J607" s="4"/>
      <c r="K607" s="4"/>
      <c r="L607" s="6">
        <f t="shared" si="9"/>
        <v>1.69857429384463</v>
      </c>
      <c r="M607" s="4"/>
    </row>
    <row r="608" spans="1:13">
      <c r="A608" s="3">
        <v>45740</v>
      </c>
      <c r="B608" s="4" t="s">
        <v>4</v>
      </c>
      <c r="C608" s="4" t="s">
        <v>28</v>
      </c>
      <c r="D608" s="4" t="s">
        <v>27</v>
      </c>
      <c r="E608" s="4">
        <v>4</v>
      </c>
      <c r="F608" s="4">
        <v>17567</v>
      </c>
      <c r="G608" s="4">
        <v>70268</v>
      </c>
      <c r="H608" s="4">
        <v>84845</v>
      </c>
      <c r="I608" s="4"/>
      <c r="J608" s="4"/>
      <c r="K608" s="4"/>
      <c r="L608" s="6">
        <f t="shared" si="9"/>
        <v>0.828192586481231</v>
      </c>
      <c r="M608" s="4"/>
    </row>
    <row r="609" spans="1:13">
      <c r="A609" s="3">
        <v>45837</v>
      </c>
      <c r="B609" s="4" t="s">
        <v>5</v>
      </c>
      <c r="C609" s="4" t="s">
        <v>28</v>
      </c>
      <c r="D609" s="4" t="s">
        <v>30</v>
      </c>
      <c r="E609" s="4">
        <v>3</v>
      </c>
      <c r="F609" s="4">
        <v>29001</v>
      </c>
      <c r="G609" s="4">
        <v>87003</v>
      </c>
      <c r="H609" s="4">
        <v>43378</v>
      </c>
      <c r="I609" s="4"/>
      <c r="J609" s="4"/>
      <c r="K609" s="4"/>
      <c r="L609" s="6">
        <f t="shared" si="9"/>
        <v>2.00569413066531</v>
      </c>
      <c r="M609" s="4"/>
    </row>
    <row r="610" spans="1:13">
      <c r="A610" s="3">
        <v>45784</v>
      </c>
      <c r="B610" s="4" t="s">
        <v>6</v>
      </c>
      <c r="C610" s="4" t="s">
        <v>24</v>
      </c>
      <c r="D610" s="4" t="s">
        <v>27</v>
      </c>
      <c r="E610" s="4">
        <v>10</v>
      </c>
      <c r="F610" s="4">
        <v>39751</v>
      </c>
      <c r="G610" s="4">
        <v>397510</v>
      </c>
      <c r="H610" s="4">
        <v>65831</v>
      </c>
      <c r="I610" s="4"/>
      <c r="J610" s="4"/>
      <c r="K610" s="4"/>
      <c r="L610" s="6">
        <f t="shared" si="9"/>
        <v>6.03834059941365</v>
      </c>
      <c r="M610" s="4"/>
    </row>
    <row r="611" spans="1:13">
      <c r="A611" s="3">
        <v>45733</v>
      </c>
      <c r="B611" s="4" t="s">
        <v>5</v>
      </c>
      <c r="C611" s="4" t="s">
        <v>28</v>
      </c>
      <c r="D611" s="4" t="s">
        <v>32</v>
      </c>
      <c r="E611" s="4">
        <v>10</v>
      </c>
      <c r="F611" s="4">
        <v>28262</v>
      </c>
      <c r="G611" s="4">
        <v>282620</v>
      </c>
      <c r="H611" s="4">
        <v>156554</v>
      </c>
      <c r="I611" s="4"/>
      <c r="J611" s="4"/>
      <c r="K611" s="4"/>
      <c r="L611" s="6">
        <f t="shared" si="9"/>
        <v>1.80525569452074</v>
      </c>
      <c r="M611" s="4"/>
    </row>
    <row r="612" spans="1:13">
      <c r="A612" s="3">
        <v>45691</v>
      </c>
      <c r="B612" s="4" t="s">
        <v>3</v>
      </c>
      <c r="C612" s="4" t="s">
        <v>28</v>
      </c>
      <c r="D612" s="4" t="s">
        <v>23</v>
      </c>
      <c r="E612" s="4">
        <v>1</v>
      </c>
      <c r="F612" s="4">
        <v>7464</v>
      </c>
      <c r="G612" s="4">
        <v>7464</v>
      </c>
      <c r="H612" s="4">
        <v>181934</v>
      </c>
      <c r="I612" s="4"/>
      <c r="J612" s="4"/>
      <c r="K612" s="4"/>
      <c r="L612" s="6">
        <f t="shared" si="9"/>
        <v>0.0410258665230248</v>
      </c>
      <c r="M612" s="4"/>
    </row>
    <row r="613" spans="1:13">
      <c r="A613" s="3">
        <v>45683</v>
      </c>
      <c r="B613" s="4" t="s">
        <v>3</v>
      </c>
      <c r="C613" s="4" t="s">
        <v>28</v>
      </c>
      <c r="D613" s="4" t="s">
        <v>27</v>
      </c>
      <c r="E613" s="4">
        <v>8</v>
      </c>
      <c r="F613" s="4">
        <v>41541</v>
      </c>
      <c r="G613" s="4">
        <v>332328</v>
      </c>
      <c r="H613" s="4">
        <v>76009</v>
      </c>
      <c r="I613" s="4"/>
      <c r="J613" s="4"/>
      <c r="K613" s="4"/>
      <c r="L613" s="6">
        <f t="shared" si="9"/>
        <v>4.37221907931955</v>
      </c>
      <c r="M613" s="4"/>
    </row>
    <row r="614" spans="1:13">
      <c r="A614" s="3">
        <v>45811</v>
      </c>
      <c r="B614" s="4" t="s">
        <v>8</v>
      </c>
      <c r="C614" s="4" t="s">
        <v>22</v>
      </c>
      <c r="D614" s="4" t="s">
        <v>31</v>
      </c>
      <c r="E614" s="4">
        <v>4</v>
      </c>
      <c r="F614" s="4">
        <v>32275</v>
      </c>
      <c r="G614" s="4">
        <v>129100</v>
      </c>
      <c r="H614" s="4">
        <v>144463</v>
      </c>
      <c r="I614" s="4"/>
      <c r="J614" s="4"/>
      <c r="K614" s="4"/>
      <c r="L614" s="6">
        <f t="shared" si="9"/>
        <v>0.89365443054623</v>
      </c>
      <c r="M614" s="4"/>
    </row>
    <row r="615" spans="1:13">
      <c r="A615" s="3">
        <v>45754</v>
      </c>
      <c r="B615" s="4" t="s">
        <v>7</v>
      </c>
      <c r="C615" s="4" t="s">
        <v>26</v>
      </c>
      <c r="D615" s="4" t="s">
        <v>32</v>
      </c>
      <c r="E615" s="4">
        <v>9</v>
      </c>
      <c r="F615" s="4">
        <v>3192</v>
      </c>
      <c r="G615" s="4">
        <v>28728</v>
      </c>
      <c r="H615" s="4">
        <v>138246</v>
      </c>
      <c r="I615" s="4"/>
      <c r="J615" s="4"/>
      <c r="K615" s="4"/>
      <c r="L615" s="6">
        <f t="shared" si="9"/>
        <v>0.207803480751703</v>
      </c>
      <c r="M615" s="4"/>
    </row>
    <row r="616" spans="1:13">
      <c r="A616" s="3">
        <v>45705</v>
      </c>
      <c r="B616" s="4" t="s">
        <v>7</v>
      </c>
      <c r="C616" s="4" t="s">
        <v>22</v>
      </c>
      <c r="D616" s="4" t="s">
        <v>32</v>
      </c>
      <c r="E616" s="4">
        <v>9</v>
      </c>
      <c r="F616" s="4">
        <v>16899</v>
      </c>
      <c r="G616" s="4">
        <v>152091</v>
      </c>
      <c r="H616" s="4">
        <v>41072</v>
      </c>
      <c r="I616" s="4"/>
      <c r="J616" s="4"/>
      <c r="K616" s="4"/>
      <c r="L616" s="6">
        <f t="shared" si="9"/>
        <v>3.70303369692248</v>
      </c>
      <c r="M616" s="4"/>
    </row>
    <row r="617" spans="1:13">
      <c r="A617" s="3">
        <v>45823</v>
      </c>
      <c r="B617" s="4" t="s">
        <v>6</v>
      </c>
      <c r="C617" s="4" t="s">
        <v>22</v>
      </c>
      <c r="D617" s="4" t="s">
        <v>27</v>
      </c>
      <c r="E617" s="4">
        <v>3</v>
      </c>
      <c r="F617" s="4">
        <v>31365</v>
      </c>
      <c r="G617" s="4">
        <v>94095</v>
      </c>
      <c r="H617" s="4">
        <v>35282</v>
      </c>
      <c r="I617" s="4"/>
      <c r="J617" s="4"/>
      <c r="K617" s="4"/>
      <c r="L617" s="6">
        <f t="shared" si="9"/>
        <v>2.66694064962304</v>
      </c>
      <c r="M617" s="4"/>
    </row>
    <row r="618" spans="1:13">
      <c r="A618" s="3">
        <v>45729</v>
      </c>
      <c r="B618" s="4" t="s">
        <v>3</v>
      </c>
      <c r="C618" s="4" t="s">
        <v>26</v>
      </c>
      <c r="D618" s="4" t="s">
        <v>32</v>
      </c>
      <c r="E618" s="4">
        <v>6</v>
      </c>
      <c r="F618" s="4">
        <v>22279</v>
      </c>
      <c r="G618" s="4">
        <v>133674</v>
      </c>
      <c r="H618" s="4">
        <v>99125</v>
      </c>
      <c r="I618" s="4"/>
      <c r="J618" s="4"/>
      <c r="K618" s="4"/>
      <c r="L618" s="6">
        <f t="shared" si="9"/>
        <v>1.34853972257251</v>
      </c>
      <c r="M618" s="4"/>
    </row>
    <row r="619" spans="1:13">
      <c r="A619" s="3">
        <v>45800</v>
      </c>
      <c r="B619" s="4" t="s">
        <v>2</v>
      </c>
      <c r="C619" s="4" t="s">
        <v>22</v>
      </c>
      <c r="D619" s="4" t="s">
        <v>27</v>
      </c>
      <c r="E619" s="4">
        <v>8</v>
      </c>
      <c r="F619" s="4">
        <v>1945</v>
      </c>
      <c r="G619" s="4">
        <v>15560</v>
      </c>
      <c r="H619" s="4">
        <v>147708</v>
      </c>
      <c r="I619" s="4"/>
      <c r="J619" s="4"/>
      <c r="K619" s="4"/>
      <c r="L619" s="6">
        <f t="shared" si="9"/>
        <v>0.105342973975682</v>
      </c>
      <c r="M619" s="4"/>
    </row>
    <row r="620" spans="1:13">
      <c r="A620" s="3">
        <v>45677</v>
      </c>
      <c r="B620" s="4" t="s">
        <v>3</v>
      </c>
      <c r="C620" s="4" t="s">
        <v>24</v>
      </c>
      <c r="D620" s="4" t="s">
        <v>32</v>
      </c>
      <c r="E620" s="4">
        <v>10</v>
      </c>
      <c r="F620" s="4">
        <v>13179</v>
      </c>
      <c r="G620" s="4">
        <v>131790</v>
      </c>
      <c r="H620" s="4">
        <v>91745</v>
      </c>
      <c r="I620" s="4"/>
      <c r="J620" s="4"/>
      <c r="K620" s="4"/>
      <c r="L620" s="6">
        <f t="shared" si="9"/>
        <v>1.43648155212818</v>
      </c>
      <c r="M620" s="4"/>
    </row>
    <row r="621" spans="1:13">
      <c r="A621" s="3">
        <v>45690</v>
      </c>
      <c r="B621" s="4" t="s">
        <v>3</v>
      </c>
      <c r="C621" s="4" t="s">
        <v>22</v>
      </c>
      <c r="D621" s="4" t="s">
        <v>33</v>
      </c>
      <c r="E621" s="4">
        <v>7</v>
      </c>
      <c r="F621" s="4">
        <v>10064</v>
      </c>
      <c r="G621" s="4">
        <v>70448</v>
      </c>
      <c r="H621" s="4">
        <v>4797</v>
      </c>
      <c r="I621" s="4"/>
      <c r="J621" s="4"/>
      <c r="K621" s="4"/>
      <c r="L621" s="6">
        <f t="shared" si="9"/>
        <v>14.6858453199917</v>
      </c>
      <c r="M621" s="4"/>
    </row>
    <row r="622" spans="1:13">
      <c r="A622" s="3">
        <v>45827</v>
      </c>
      <c r="B622" s="4" t="s">
        <v>5</v>
      </c>
      <c r="C622" s="4" t="s">
        <v>26</v>
      </c>
      <c r="D622" s="4" t="s">
        <v>29</v>
      </c>
      <c r="E622" s="4">
        <v>6</v>
      </c>
      <c r="F622" s="4">
        <v>8475</v>
      </c>
      <c r="G622" s="4">
        <v>50850</v>
      </c>
      <c r="H622" s="4">
        <v>62161</v>
      </c>
      <c r="I622" s="4"/>
      <c r="J622" s="4"/>
      <c r="K622" s="4"/>
      <c r="L622" s="6">
        <f t="shared" si="9"/>
        <v>0.818037032866267</v>
      </c>
      <c r="M622" s="4"/>
    </row>
    <row r="623" spans="1:13">
      <c r="A623" s="3">
        <v>45767</v>
      </c>
      <c r="B623" s="4" t="s">
        <v>5</v>
      </c>
      <c r="C623" s="4" t="s">
        <v>26</v>
      </c>
      <c r="D623" s="4" t="s">
        <v>27</v>
      </c>
      <c r="E623" s="4">
        <v>10</v>
      </c>
      <c r="F623" s="4">
        <v>49533</v>
      </c>
      <c r="G623" s="4">
        <v>495330</v>
      </c>
      <c r="H623" s="4">
        <v>64448</v>
      </c>
      <c r="I623" s="4"/>
      <c r="J623" s="4"/>
      <c r="K623" s="4"/>
      <c r="L623" s="6">
        <f t="shared" si="9"/>
        <v>7.68573113207547</v>
      </c>
      <c r="M623" s="4"/>
    </row>
    <row r="624" spans="1:13">
      <c r="A624" s="3">
        <v>45715</v>
      </c>
      <c r="B624" s="4" t="s">
        <v>6</v>
      </c>
      <c r="C624" s="4" t="s">
        <v>22</v>
      </c>
      <c r="D624" s="4" t="s">
        <v>25</v>
      </c>
      <c r="E624" s="4">
        <v>5</v>
      </c>
      <c r="F624" s="4">
        <v>43856</v>
      </c>
      <c r="G624" s="4">
        <v>219280</v>
      </c>
      <c r="H624" s="4">
        <v>3655</v>
      </c>
      <c r="I624" s="4"/>
      <c r="J624" s="4"/>
      <c r="K624" s="4"/>
      <c r="L624" s="6">
        <f t="shared" si="9"/>
        <v>59.9945280437757</v>
      </c>
      <c r="M624" s="4"/>
    </row>
    <row r="625" spans="1:13">
      <c r="A625" s="3">
        <v>45726</v>
      </c>
      <c r="B625" s="4" t="s">
        <v>7</v>
      </c>
      <c r="C625" s="4" t="s">
        <v>22</v>
      </c>
      <c r="D625" s="4" t="s">
        <v>31</v>
      </c>
      <c r="E625" s="4">
        <v>7</v>
      </c>
      <c r="F625" s="4">
        <v>5540</v>
      </c>
      <c r="G625" s="4">
        <v>38780</v>
      </c>
      <c r="H625" s="4">
        <v>62395</v>
      </c>
      <c r="I625" s="4"/>
      <c r="J625" s="4"/>
      <c r="K625" s="4"/>
      <c r="L625" s="6">
        <f t="shared" si="9"/>
        <v>0.621524160589791</v>
      </c>
      <c r="M625" s="4"/>
    </row>
    <row r="626" spans="1:13">
      <c r="A626" s="3">
        <v>45675</v>
      </c>
      <c r="B626" s="4" t="s">
        <v>4</v>
      </c>
      <c r="C626" s="4" t="s">
        <v>24</v>
      </c>
      <c r="D626" s="4" t="s">
        <v>31</v>
      </c>
      <c r="E626" s="4">
        <v>5</v>
      </c>
      <c r="F626" s="4">
        <v>1880</v>
      </c>
      <c r="G626" s="4">
        <v>9400</v>
      </c>
      <c r="H626" s="4">
        <v>62372</v>
      </c>
      <c r="I626" s="4"/>
      <c r="J626" s="4"/>
      <c r="K626" s="4"/>
      <c r="L626" s="6">
        <f t="shared" si="9"/>
        <v>0.150708651317899</v>
      </c>
      <c r="M626" s="4"/>
    </row>
    <row r="627" spans="1:13">
      <c r="A627" s="3">
        <v>45793</v>
      </c>
      <c r="B627" s="4" t="s">
        <v>4</v>
      </c>
      <c r="C627" s="4" t="s">
        <v>24</v>
      </c>
      <c r="D627" s="4" t="s">
        <v>29</v>
      </c>
      <c r="E627" s="4">
        <v>9</v>
      </c>
      <c r="F627" s="4">
        <v>3278</v>
      </c>
      <c r="G627" s="4">
        <v>29502</v>
      </c>
      <c r="H627" s="4">
        <v>184445</v>
      </c>
      <c r="I627" s="4"/>
      <c r="J627" s="4"/>
      <c r="K627" s="4"/>
      <c r="L627" s="6">
        <f t="shared" si="9"/>
        <v>0.159950120632167</v>
      </c>
      <c r="M627" s="4"/>
    </row>
    <row r="628" spans="1:13">
      <c r="A628" s="3">
        <v>45725</v>
      </c>
      <c r="B628" s="4" t="s">
        <v>3</v>
      </c>
      <c r="C628" s="4" t="s">
        <v>22</v>
      </c>
      <c r="D628" s="4" t="s">
        <v>31</v>
      </c>
      <c r="E628" s="4">
        <v>10</v>
      </c>
      <c r="F628" s="4">
        <v>15264</v>
      </c>
      <c r="G628" s="4">
        <v>152640</v>
      </c>
      <c r="H628" s="4">
        <v>139457</v>
      </c>
      <c r="I628" s="4"/>
      <c r="J628" s="4"/>
      <c r="K628" s="4"/>
      <c r="L628" s="6">
        <f t="shared" si="9"/>
        <v>1.09453093068114</v>
      </c>
      <c r="M628" s="4"/>
    </row>
    <row r="629" spans="1:13">
      <c r="A629" s="3">
        <v>45693</v>
      </c>
      <c r="B629" s="4" t="s">
        <v>8</v>
      </c>
      <c r="C629" s="4" t="s">
        <v>28</v>
      </c>
      <c r="D629" s="4" t="s">
        <v>23</v>
      </c>
      <c r="E629" s="4">
        <v>2</v>
      </c>
      <c r="F629" s="4">
        <v>49680</v>
      </c>
      <c r="G629" s="4">
        <v>99360</v>
      </c>
      <c r="H629" s="4">
        <v>127465</v>
      </c>
      <c r="I629" s="4"/>
      <c r="J629" s="4"/>
      <c r="K629" s="4"/>
      <c r="L629" s="6">
        <f t="shared" si="9"/>
        <v>0.779508100262817</v>
      </c>
      <c r="M629" s="4"/>
    </row>
    <row r="630" spans="1:13">
      <c r="A630" s="3">
        <v>45797</v>
      </c>
      <c r="B630" s="4" t="s">
        <v>7</v>
      </c>
      <c r="C630" s="4" t="s">
        <v>24</v>
      </c>
      <c r="D630" s="4" t="s">
        <v>32</v>
      </c>
      <c r="E630" s="4">
        <v>1</v>
      </c>
      <c r="F630" s="4">
        <v>32985</v>
      </c>
      <c r="G630" s="4">
        <v>32985</v>
      </c>
      <c r="H630" s="4">
        <v>191690</v>
      </c>
      <c r="I630" s="4"/>
      <c r="J630" s="4"/>
      <c r="K630" s="4"/>
      <c r="L630" s="6">
        <f t="shared" si="9"/>
        <v>0.172074703949084</v>
      </c>
      <c r="M630" s="4"/>
    </row>
    <row r="631" spans="1:13">
      <c r="A631" s="3">
        <v>45784</v>
      </c>
      <c r="B631" s="4" t="s">
        <v>4</v>
      </c>
      <c r="C631" s="4" t="s">
        <v>28</v>
      </c>
      <c r="D631" s="4" t="s">
        <v>32</v>
      </c>
      <c r="E631" s="4">
        <v>2</v>
      </c>
      <c r="F631" s="4">
        <v>6187</v>
      </c>
      <c r="G631" s="4">
        <v>12374</v>
      </c>
      <c r="H631" s="4">
        <v>58350</v>
      </c>
      <c r="I631" s="4"/>
      <c r="J631" s="4"/>
      <c r="K631" s="4"/>
      <c r="L631" s="6">
        <f t="shared" si="9"/>
        <v>0.212065124250214</v>
      </c>
      <c r="M631" s="4"/>
    </row>
    <row r="632" spans="1:13">
      <c r="A632" s="3">
        <v>45838</v>
      </c>
      <c r="B632" s="4" t="s">
        <v>3</v>
      </c>
      <c r="C632" s="4" t="s">
        <v>26</v>
      </c>
      <c r="D632" s="4" t="s">
        <v>30</v>
      </c>
      <c r="E632" s="4">
        <v>4</v>
      </c>
      <c r="F632" s="4">
        <v>18669</v>
      </c>
      <c r="G632" s="4">
        <v>74676</v>
      </c>
      <c r="H632" s="4">
        <v>156494</v>
      </c>
      <c r="I632" s="4"/>
      <c r="J632" s="4"/>
      <c r="K632" s="4"/>
      <c r="L632" s="6">
        <f t="shared" si="9"/>
        <v>0.477181233785321</v>
      </c>
      <c r="M632" s="4"/>
    </row>
    <row r="633" spans="1:13">
      <c r="A633" s="3">
        <v>45664</v>
      </c>
      <c r="B633" s="4" t="s">
        <v>8</v>
      </c>
      <c r="C633" s="4" t="s">
        <v>22</v>
      </c>
      <c r="D633" s="4" t="s">
        <v>25</v>
      </c>
      <c r="E633" s="4">
        <v>1</v>
      </c>
      <c r="F633" s="4">
        <v>43350</v>
      </c>
      <c r="G633" s="4">
        <v>43350</v>
      </c>
      <c r="H633" s="4">
        <v>96766</v>
      </c>
      <c r="I633" s="4"/>
      <c r="J633" s="4"/>
      <c r="K633" s="4"/>
      <c r="L633" s="6">
        <f t="shared" si="9"/>
        <v>0.44798792964471</v>
      </c>
      <c r="M633" s="4"/>
    </row>
    <row r="634" spans="1:13">
      <c r="A634" s="3">
        <v>45679</v>
      </c>
      <c r="B634" s="4" t="s">
        <v>6</v>
      </c>
      <c r="C634" s="4" t="s">
        <v>26</v>
      </c>
      <c r="D634" s="4" t="s">
        <v>32</v>
      </c>
      <c r="E634" s="4">
        <v>4</v>
      </c>
      <c r="F634" s="4">
        <v>34808</v>
      </c>
      <c r="G634" s="4">
        <v>139232</v>
      </c>
      <c r="H634" s="4">
        <v>93676</v>
      </c>
      <c r="I634" s="4"/>
      <c r="J634" s="4"/>
      <c r="K634" s="4"/>
      <c r="L634" s="6">
        <f t="shared" si="9"/>
        <v>1.48631453093642</v>
      </c>
      <c r="M634" s="4"/>
    </row>
    <row r="635" spans="1:13">
      <c r="A635" s="3">
        <v>45729</v>
      </c>
      <c r="B635" s="4" t="s">
        <v>5</v>
      </c>
      <c r="C635" s="4" t="s">
        <v>24</v>
      </c>
      <c r="D635" s="4" t="s">
        <v>33</v>
      </c>
      <c r="E635" s="4">
        <v>10</v>
      </c>
      <c r="F635" s="4">
        <v>2808</v>
      </c>
      <c r="G635" s="4">
        <v>28080</v>
      </c>
      <c r="H635" s="4">
        <v>86578</v>
      </c>
      <c r="I635" s="4"/>
      <c r="J635" s="4"/>
      <c r="K635" s="4"/>
      <c r="L635" s="6">
        <f t="shared" si="9"/>
        <v>0.324331816396775</v>
      </c>
      <c r="M635" s="4"/>
    </row>
    <row r="636" spans="1:13">
      <c r="A636" s="3">
        <v>45696</v>
      </c>
      <c r="B636" s="4" t="s">
        <v>5</v>
      </c>
      <c r="C636" s="4" t="s">
        <v>28</v>
      </c>
      <c r="D636" s="4" t="s">
        <v>33</v>
      </c>
      <c r="E636" s="4">
        <v>6</v>
      </c>
      <c r="F636" s="4">
        <v>10761</v>
      </c>
      <c r="G636" s="4">
        <v>64566</v>
      </c>
      <c r="H636" s="4">
        <v>116496</v>
      </c>
      <c r="I636" s="4"/>
      <c r="J636" s="4"/>
      <c r="K636" s="4"/>
      <c r="L636" s="6">
        <f t="shared" si="9"/>
        <v>0.554233621755253</v>
      </c>
      <c r="M636" s="4"/>
    </row>
    <row r="637" spans="1:13">
      <c r="A637" s="3">
        <v>45769</v>
      </c>
      <c r="B637" s="4" t="s">
        <v>5</v>
      </c>
      <c r="C637" s="4" t="s">
        <v>26</v>
      </c>
      <c r="D637" s="4" t="s">
        <v>31</v>
      </c>
      <c r="E637" s="4">
        <v>6</v>
      </c>
      <c r="F637" s="4">
        <v>20999</v>
      </c>
      <c r="G637" s="4">
        <v>125994</v>
      </c>
      <c r="H637" s="4">
        <v>102423</v>
      </c>
      <c r="I637" s="4"/>
      <c r="J637" s="4"/>
      <c r="K637" s="4"/>
      <c r="L637" s="6">
        <f t="shared" si="9"/>
        <v>1.23013385665329</v>
      </c>
      <c r="M637" s="4"/>
    </row>
    <row r="638" spans="1:13">
      <c r="A638" s="3">
        <v>45786</v>
      </c>
      <c r="B638" s="4" t="s">
        <v>5</v>
      </c>
      <c r="C638" s="4" t="s">
        <v>28</v>
      </c>
      <c r="D638" s="4" t="s">
        <v>29</v>
      </c>
      <c r="E638" s="4">
        <v>5</v>
      </c>
      <c r="F638" s="4">
        <v>17615</v>
      </c>
      <c r="G638" s="4">
        <v>88075</v>
      </c>
      <c r="H638" s="4">
        <v>8740</v>
      </c>
      <c r="I638" s="4"/>
      <c r="J638" s="4"/>
      <c r="K638" s="4"/>
      <c r="L638" s="6">
        <f t="shared" si="9"/>
        <v>10.0772311212815</v>
      </c>
      <c r="M638" s="4"/>
    </row>
    <row r="639" spans="1:13">
      <c r="A639" s="3">
        <v>45706</v>
      </c>
      <c r="B639" s="4" t="s">
        <v>7</v>
      </c>
      <c r="C639" s="4" t="s">
        <v>22</v>
      </c>
      <c r="D639" s="4" t="s">
        <v>23</v>
      </c>
      <c r="E639" s="4">
        <v>5</v>
      </c>
      <c r="F639" s="4">
        <v>11210</v>
      </c>
      <c r="G639" s="4">
        <v>56050</v>
      </c>
      <c r="H639" s="4">
        <v>48740</v>
      </c>
      <c r="I639" s="4"/>
      <c r="J639" s="4"/>
      <c r="K639" s="4"/>
      <c r="L639" s="6">
        <f t="shared" si="9"/>
        <v>1.14997948297087</v>
      </c>
      <c r="M639" s="4"/>
    </row>
    <row r="640" spans="1:13">
      <c r="A640" s="3">
        <v>45821</v>
      </c>
      <c r="B640" s="4" t="s">
        <v>4</v>
      </c>
      <c r="C640" s="4" t="s">
        <v>26</v>
      </c>
      <c r="D640" s="4" t="s">
        <v>31</v>
      </c>
      <c r="E640" s="4">
        <v>6</v>
      </c>
      <c r="F640" s="4">
        <v>30337</v>
      </c>
      <c r="G640" s="4">
        <v>182022</v>
      </c>
      <c r="H640" s="4">
        <v>194630</v>
      </c>
      <c r="I640" s="4"/>
      <c r="J640" s="4"/>
      <c r="K640" s="4"/>
      <c r="L640" s="6">
        <f t="shared" si="9"/>
        <v>0.935220675127164</v>
      </c>
      <c r="M640" s="4"/>
    </row>
    <row r="641" spans="1:13">
      <c r="A641" s="3">
        <v>45682</v>
      </c>
      <c r="B641" s="4" t="s">
        <v>8</v>
      </c>
      <c r="C641" s="4" t="s">
        <v>26</v>
      </c>
      <c r="D641" s="4" t="s">
        <v>25</v>
      </c>
      <c r="E641" s="4">
        <v>6</v>
      </c>
      <c r="F641" s="4">
        <v>26924</v>
      </c>
      <c r="G641" s="4">
        <v>161544</v>
      </c>
      <c r="H641" s="4">
        <v>89890</v>
      </c>
      <c r="I641" s="4"/>
      <c r="J641" s="4"/>
      <c r="K641" s="4"/>
      <c r="L641" s="6">
        <f t="shared" si="9"/>
        <v>1.79712982534208</v>
      </c>
      <c r="M641" s="4"/>
    </row>
    <row r="642" spans="1:13">
      <c r="A642" s="3">
        <v>45743</v>
      </c>
      <c r="B642" s="4" t="s">
        <v>8</v>
      </c>
      <c r="C642" s="4" t="s">
        <v>22</v>
      </c>
      <c r="D642" s="4" t="s">
        <v>33</v>
      </c>
      <c r="E642" s="4">
        <v>8</v>
      </c>
      <c r="F642" s="4">
        <v>10969</v>
      </c>
      <c r="G642" s="4">
        <v>87752</v>
      </c>
      <c r="H642" s="4">
        <v>90771</v>
      </c>
      <c r="I642" s="4"/>
      <c r="J642" s="4"/>
      <c r="K642" s="4"/>
      <c r="L642" s="6">
        <f t="shared" si="9"/>
        <v>0.966740478787278</v>
      </c>
      <c r="M642" s="4"/>
    </row>
    <row r="643" spans="1:13">
      <c r="A643" s="3">
        <v>45747</v>
      </c>
      <c r="B643" s="4" t="s">
        <v>5</v>
      </c>
      <c r="C643" s="4" t="s">
        <v>28</v>
      </c>
      <c r="D643" s="4" t="s">
        <v>31</v>
      </c>
      <c r="E643" s="4">
        <v>2</v>
      </c>
      <c r="F643" s="4">
        <v>8789</v>
      </c>
      <c r="G643" s="4">
        <v>17578</v>
      </c>
      <c r="H643" s="4">
        <v>83884</v>
      </c>
      <c r="I643" s="4"/>
      <c r="J643" s="4"/>
      <c r="K643" s="4"/>
      <c r="L643" s="6">
        <f t="shared" ref="L643:L706" si="10">G643/H643</f>
        <v>0.209551285108006</v>
      </c>
      <c r="M643" s="4"/>
    </row>
    <row r="644" spans="1:13">
      <c r="A644" s="3">
        <v>45686</v>
      </c>
      <c r="B644" s="4" t="s">
        <v>7</v>
      </c>
      <c r="C644" s="4" t="s">
        <v>22</v>
      </c>
      <c r="D644" s="4" t="s">
        <v>33</v>
      </c>
      <c r="E644" s="4">
        <v>3</v>
      </c>
      <c r="F644" s="4">
        <v>37089</v>
      </c>
      <c r="G644" s="4">
        <v>111267</v>
      </c>
      <c r="H644" s="4">
        <v>178788</v>
      </c>
      <c r="I644" s="4"/>
      <c r="J644" s="4"/>
      <c r="K644" s="4"/>
      <c r="L644" s="6">
        <f t="shared" si="10"/>
        <v>0.622340425531915</v>
      </c>
      <c r="M644" s="4"/>
    </row>
    <row r="645" spans="1:13">
      <c r="A645" s="3">
        <v>45675</v>
      </c>
      <c r="B645" s="4" t="s">
        <v>8</v>
      </c>
      <c r="C645" s="4" t="s">
        <v>22</v>
      </c>
      <c r="D645" s="4" t="s">
        <v>30</v>
      </c>
      <c r="E645" s="4">
        <v>9</v>
      </c>
      <c r="F645" s="4">
        <v>27936</v>
      </c>
      <c r="G645" s="4">
        <v>251424</v>
      </c>
      <c r="H645" s="4">
        <v>99171</v>
      </c>
      <c r="I645" s="4"/>
      <c r="J645" s="4"/>
      <c r="K645" s="4"/>
      <c r="L645" s="6">
        <f t="shared" si="10"/>
        <v>2.53525728287503</v>
      </c>
      <c r="M645" s="4"/>
    </row>
    <row r="646" spans="1:13">
      <c r="A646" s="3">
        <v>45722</v>
      </c>
      <c r="B646" s="4" t="s">
        <v>5</v>
      </c>
      <c r="C646" s="4" t="s">
        <v>26</v>
      </c>
      <c r="D646" s="4" t="s">
        <v>33</v>
      </c>
      <c r="E646" s="4">
        <v>2</v>
      </c>
      <c r="F646" s="4">
        <v>9561</v>
      </c>
      <c r="G646" s="4">
        <v>19122</v>
      </c>
      <c r="H646" s="4">
        <v>59127</v>
      </c>
      <c r="I646" s="4"/>
      <c r="J646" s="4"/>
      <c r="K646" s="4"/>
      <c r="L646" s="6">
        <f t="shared" si="10"/>
        <v>0.323405550763611</v>
      </c>
      <c r="M646" s="4"/>
    </row>
    <row r="647" spans="1:13">
      <c r="A647" s="3">
        <v>45821</v>
      </c>
      <c r="B647" s="4" t="s">
        <v>5</v>
      </c>
      <c r="C647" s="4" t="s">
        <v>22</v>
      </c>
      <c r="D647" s="4" t="s">
        <v>33</v>
      </c>
      <c r="E647" s="4">
        <v>8</v>
      </c>
      <c r="F647" s="4">
        <v>32194</v>
      </c>
      <c r="G647" s="4">
        <v>257552</v>
      </c>
      <c r="H647" s="4">
        <v>66144</v>
      </c>
      <c r="I647" s="4"/>
      <c r="J647" s="4"/>
      <c r="K647" s="4"/>
      <c r="L647" s="6">
        <f t="shared" si="10"/>
        <v>3.89380745041122</v>
      </c>
      <c r="M647" s="4"/>
    </row>
    <row r="648" spans="1:13">
      <c r="A648" s="3">
        <v>45821</v>
      </c>
      <c r="B648" s="4" t="s">
        <v>7</v>
      </c>
      <c r="C648" s="4" t="s">
        <v>24</v>
      </c>
      <c r="D648" s="4" t="s">
        <v>29</v>
      </c>
      <c r="E648" s="4">
        <v>2</v>
      </c>
      <c r="F648" s="4">
        <v>35915</v>
      </c>
      <c r="G648" s="4">
        <v>71830</v>
      </c>
      <c r="H648" s="4">
        <v>33097</v>
      </c>
      <c r="I648" s="4"/>
      <c r="J648" s="4"/>
      <c r="K648" s="4"/>
      <c r="L648" s="6">
        <f t="shared" si="10"/>
        <v>2.1702873372209</v>
      </c>
      <c r="M648" s="4"/>
    </row>
    <row r="649" spans="1:13">
      <c r="A649" s="3">
        <v>45757</v>
      </c>
      <c r="B649" s="4" t="s">
        <v>2</v>
      </c>
      <c r="C649" s="4" t="s">
        <v>22</v>
      </c>
      <c r="D649" s="4" t="s">
        <v>27</v>
      </c>
      <c r="E649" s="4">
        <v>5</v>
      </c>
      <c r="F649" s="4">
        <v>24057</v>
      </c>
      <c r="G649" s="4">
        <v>120285</v>
      </c>
      <c r="H649" s="4">
        <v>172818</v>
      </c>
      <c r="I649" s="4"/>
      <c r="J649" s="4"/>
      <c r="K649" s="4"/>
      <c r="L649" s="6">
        <f t="shared" si="10"/>
        <v>0.696021247786689</v>
      </c>
      <c r="M649" s="4"/>
    </row>
    <row r="650" spans="1:13">
      <c r="A650" s="3">
        <v>45764</v>
      </c>
      <c r="B650" s="4" t="s">
        <v>5</v>
      </c>
      <c r="C650" s="4" t="s">
        <v>28</v>
      </c>
      <c r="D650" s="4" t="s">
        <v>30</v>
      </c>
      <c r="E650" s="4">
        <v>2</v>
      </c>
      <c r="F650" s="4">
        <v>28583</v>
      </c>
      <c r="G650" s="4">
        <v>57166</v>
      </c>
      <c r="H650" s="4">
        <v>64618</v>
      </c>
      <c r="I650" s="4"/>
      <c r="J650" s="4"/>
      <c r="K650" s="4"/>
      <c r="L650" s="6">
        <f t="shared" si="10"/>
        <v>0.884676096443715</v>
      </c>
      <c r="M650" s="4"/>
    </row>
    <row r="651" spans="1:13">
      <c r="A651" s="3">
        <v>45819</v>
      </c>
      <c r="B651" s="4" t="s">
        <v>8</v>
      </c>
      <c r="C651" s="4" t="s">
        <v>24</v>
      </c>
      <c r="D651" s="4" t="s">
        <v>25</v>
      </c>
      <c r="E651" s="4">
        <v>2</v>
      </c>
      <c r="F651" s="4">
        <v>28846</v>
      </c>
      <c r="G651" s="4">
        <v>57692</v>
      </c>
      <c r="H651" s="4">
        <v>159057</v>
      </c>
      <c r="I651" s="4"/>
      <c r="J651" s="4"/>
      <c r="K651" s="4"/>
      <c r="L651" s="6">
        <f t="shared" si="10"/>
        <v>0.362712738200771</v>
      </c>
      <c r="M651" s="4"/>
    </row>
    <row r="652" spans="1:13">
      <c r="A652" s="3">
        <v>45668</v>
      </c>
      <c r="B652" s="4" t="s">
        <v>2</v>
      </c>
      <c r="C652" s="4" t="s">
        <v>24</v>
      </c>
      <c r="D652" s="4" t="s">
        <v>31</v>
      </c>
      <c r="E652" s="4">
        <v>1</v>
      </c>
      <c r="F652" s="4">
        <v>5917</v>
      </c>
      <c r="G652" s="4">
        <v>5917</v>
      </c>
      <c r="H652" s="4">
        <v>75512</v>
      </c>
      <c r="I652" s="4"/>
      <c r="J652" s="4"/>
      <c r="K652" s="4"/>
      <c r="L652" s="6">
        <f t="shared" si="10"/>
        <v>0.0783584066108698</v>
      </c>
      <c r="M652" s="4"/>
    </row>
    <row r="653" spans="1:13">
      <c r="A653" s="3">
        <v>45680</v>
      </c>
      <c r="B653" s="4" t="s">
        <v>8</v>
      </c>
      <c r="C653" s="4" t="s">
        <v>22</v>
      </c>
      <c r="D653" s="4" t="s">
        <v>33</v>
      </c>
      <c r="E653" s="4">
        <v>6</v>
      </c>
      <c r="F653" s="4">
        <v>24799</v>
      </c>
      <c r="G653" s="4">
        <v>148794</v>
      </c>
      <c r="H653" s="4">
        <v>180751</v>
      </c>
      <c r="I653" s="4"/>
      <c r="J653" s="4"/>
      <c r="K653" s="4"/>
      <c r="L653" s="6">
        <f t="shared" si="10"/>
        <v>0.82319876515206</v>
      </c>
      <c r="M653" s="4"/>
    </row>
    <row r="654" spans="1:13">
      <c r="A654" s="3">
        <v>45671</v>
      </c>
      <c r="B654" s="4" t="s">
        <v>4</v>
      </c>
      <c r="C654" s="4" t="s">
        <v>28</v>
      </c>
      <c r="D654" s="4" t="s">
        <v>29</v>
      </c>
      <c r="E654" s="4">
        <v>7</v>
      </c>
      <c r="F654" s="4">
        <v>27775</v>
      </c>
      <c r="G654" s="4">
        <v>194425</v>
      </c>
      <c r="H654" s="4">
        <v>95874</v>
      </c>
      <c r="I654" s="4"/>
      <c r="J654" s="4"/>
      <c r="K654" s="4"/>
      <c r="L654" s="6">
        <f t="shared" si="10"/>
        <v>2.02792206437616</v>
      </c>
      <c r="M654" s="4"/>
    </row>
    <row r="655" spans="1:13">
      <c r="A655" s="3">
        <v>45662</v>
      </c>
      <c r="B655" s="4" t="s">
        <v>6</v>
      </c>
      <c r="C655" s="4" t="s">
        <v>24</v>
      </c>
      <c r="D655" s="4" t="s">
        <v>30</v>
      </c>
      <c r="E655" s="4">
        <v>7</v>
      </c>
      <c r="F655" s="4">
        <v>34401</v>
      </c>
      <c r="G655" s="4">
        <v>240807</v>
      </c>
      <c r="H655" s="4">
        <v>90530</v>
      </c>
      <c r="I655" s="4"/>
      <c r="J655" s="4"/>
      <c r="K655" s="4"/>
      <c r="L655" s="6">
        <f t="shared" si="10"/>
        <v>2.65996907102618</v>
      </c>
      <c r="M655" s="4"/>
    </row>
    <row r="656" spans="1:13">
      <c r="A656" s="3">
        <v>45674</v>
      </c>
      <c r="B656" s="4" t="s">
        <v>6</v>
      </c>
      <c r="C656" s="4" t="s">
        <v>28</v>
      </c>
      <c r="D656" s="4" t="s">
        <v>25</v>
      </c>
      <c r="E656" s="4">
        <v>3</v>
      </c>
      <c r="F656" s="4">
        <v>39136</v>
      </c>
      <c r="G656" s="4">
        <v>117408</v>
      </c>
      <c r="H656" s="4">
        <v>187235</v>
      </c>
      <c r="I656" s="4"/>
      <c r="J656" s="4"/>
      <c r="K656" s="4"/>
      <c r="L656" s="6">
        <f t="shared" si="10"/>
        <v>0.627062247977141</v>
      </c>
      <c r="M656" s="4"/>
    </row>
    <row r="657" spans="1:13">
      <c r="A657" s="3">
        <v>45796</v>
      </c>
      <c r="B657" s="4" t="s">
        <v>2</v>
      </c>
      <c r="C657" s="4" t="s">
        <v>22</v>
      </c>
      <c r="D657" s="4" t="s">
        <v>33</v>
      </c>
      <c r="E657" s="4">
        <v>3</v>
      </c>
      <c r="F657" s="4">
        <v>3105</v>
      </c>
      <c r="G657" s="4">
        <v>9315</v>
      </c>
      <c r="H657" s="4">
        <v>20290</v>
      </c>
      <c r="I657" s="4"/>
      <c r="J657" s="4"/>
      <c r="K657" s="4"/>
      <c r="L657" s="6">
        <f t="shared" si="10"/>
        <v>0.459093149334648</v>
      </c>
      <c r="M657" s="4"/>
    </row>
    <row r="658" spans="1:13">
      <c r="A658" s="3">
        <v>45766</v>
      </c>
      <c r="B658" s="4" t="s">
        <v>6</v>
      </c>
      <c r="C658" s="4" t="s">
        <v>24</v>
      </c>
      <c r="D658" s="4" t="s">
        <v>25</v>
      </c>
      <c r="E658" s="4">
        <v>9</v>
      </c>
      <c r="F658" s="4">
        <v>9858</v>
      </c>
      <c r="G658" s="4">
        <v>88722</v>
      </c>
      <c r="H658" s="4">
        <v>174370</v>
      </c>
      <c r="I658" s="4"/>
      <c r="J658" s="4"/>
      <c r="K658" s="4"/>
      <c r="L658" s="6">
        <f t="shared" si="10"/>
        <v>0.508814589665654</v>
      </c>
      <c r="M658" s="4"/>
    </row>
    <row r="659" spans="1:13">
      <c r="A659" s="3">
        <v>45714</v>
      </c>
      <c r="B659" s="4" t="s">
        <v>6</v>
      </c>
      <c r="C659" s="4" t="s">
        <v>22</v>
      </c>
      <c r="D659" s="4" t="s">
        <v>30</v>
      </c>
      <c r="E659" s="4">
        <v>3</v>
      </c>
      <c r="F659" s="4">
        <v>21522</v>
      </c>
      <c r="G659" s="4">
        <v>64566</v>
      </c>
      <c r="H659" s="4">
        <v>18852</v>
      </c>
      <c r="I659" s="4"/>
      <c r="J659" s="4"/>
      <c r="K659" s="4"/>
      <c r="L659" s="6">
        <f t="shared" si="10"/>
        <v>3.42488860598345</v>
      </c>
      <c r="M659" s="4"/>
    </row>
    <row r="660" spans="1:13">
      <c r="A660" s="3">
        <v>45673</v>
      </c>
      <c r="B660" s="4" t="s">
        <v>5</v>
      </c>
      <c r="C660" s="4" t="s">
        <v>28</v>
      </c>
      <c r="D660" s="4" t="s">
        <v>30</v>
      </c>
      <c r="E660" s="4">
        <v>4</v>
      </c>
      <c r="F660" s="4">
        <v>30222</v>
      </c>
      <c r="G660" s="4">
        <v>120888</v>
      </c>
      <c r="H660" s="4">
        <v>127354</v>
      </c>
      <c r="I660" s="4"/>
      <c r="J660" s="4"/>
      <c r="K660" s="4"/>
      <c r="L660" s="6">
        <f t="shared" si="10"/>
        <v>0.949228135747601</v>
      </c>
      <c r="M660" s="4"/>
    </row>
    <row r="661" spans="1:13">
      <c r="A661" s="3">
        <v>45770</v>
      </c>
      <c r="B661" s="4" t="s">
        <v>4</v>
      </c>
      <c r="C661" s="4" t="s">
        <v>24</v>
      </c>
      <c r="D661" s="4" t="s">
        <v>33</v>
      </c>
      <c r="E661" s="4">
        <v>4</v>
      </c>
      <c r="F661" s="4">
        <v>5138</v>
      </c>
      <c r="G661" s="4">
        <v>20552</v>
      </c>
      <c r="H661" s="4">
        <v>67958</v>
      </c>
      <c r="I661" s="4"/>
      <c r="J661" s="4"/>
      <c r="K661" s="4"/>
      <c r="L661" s="6">
        <f t="shared" si="10"/>
        <v>0.302422084228494</v>
      </c>
      <c r="M661" s="4"/>
    </row>
    <row r="662" spans="1:13">
      <c r="A662" s="3">
        <v>45787</v>
      </c>
      <c r="B662" s="4" t="s">
        <v>2</v>
      </c>
      <c r="C662" s="4" t="s">
        <v>26</v>
      </c>
      <c r="D662" s="4" t="s">
        <v>30</v>
      </c>
      <c r="E662" s="4">
        <v>9</v>
      </c>
      <c r="F662" s="4">
        <v>32209</v>
      </c>
      <c r="G662" s="4">
        <v>289881</v>
      </c>
      <c r="H662" s="4">
        <v>138769</v>
      </c>
      <c r="I662" s="4"/>
      <c r="J662" s="4"/>
      <c r="K662" s="4"/>
      <c r="L662" s="6">
        <f t="shared" si="10"/>
        <v>2.08894637851393</v>
      </c>
      <c r="M662" s="4"/>
    </row>
    <row r="663" spans="1:13">
      <c r="A663" s="3">
        <v>45733</v>
      </c>
      <c r="B663" s="4" t="s">
        <v>5</v>
      </c>
      <c r="C663" s="4" t="s">
        <v>28</v>
      </c>
      <c r="D663" s="4" t="s">
        <v>32</v>
      </c>
      <c r="E663" s="4">
        <v>4</v>
      </c>
      <c r="F663" s="4">
        <v>46193</v>
      </c>
      <c r="G663" s="4">
        <v>184772</v>
      </c>
      <c r="H663" s="4">
        <v>23186</v>
      </c>
      <c r="I663" s="4"/>
      <c r="J663" s="4"/>
      <c r="K663" s="4"/>
      <c r="L663" s="6">
        <f t="shared" si="10"/>
        <v>7.96911929612697</v>
      </c>
      <c r="M663" s="4"/>
    </row>
    <row r="664" spans="1:13">
      <c r="A664" s="3">
        <v>45788</v>
      </c>
      <c r="B664" s="4" t="s">
        <v>3</v>
      </c>
      <c r="C664" s="4" t="s">
        <v>24</v>
      </c>
      <c r="D664" s="4" t="s">
        <v>31</v>
      </c>
      <c r="E664" s="4">
        <v>9</v>
      </c>
      <c r="F664" s="4">
        <v>540</v>
      </c>
      <c r="G664" s="4">
        <v>4860</v>
      </c>
      <c r="H664" s="4">
        <v>39130</v>
      </c>
      <c r="I664" s="4"/>
      <c r="J664" s="4"/>
      <c r="K664" s="4"/>
      <c r="L664" s="6">
        <f t="shared" si="10"/>
        <v>0.124201380015333</v>
      </c>
      <c r="M664" s="4"/>
    </row>
    <row r="665" spans="1:13">
      <c r="A665" s="3">
        <v>45676</v>
      </c>
      <c r="B665" s="4" t="s">
        <v>4</v>
      </c>
      <c r="C665" s="4" t="s">
        <v>24</v>
      </c>
      <c r="D665" s="4" t="s">
        <v>27</v>
      </c>
      <c r="E665" s="4">
        <v>7</v>
      </c>
      <c r="F665" s="4">
        <v>41105</v>
      </c>
      <c r="G665" s="4">
        <v>287735</v>
      </c>
      <c r="H665" s="4">
        <v>28035</v>
      </c>
      <c r="I665" s="4"/>
      <c r="J665" s="4"/>
      <c r="K665" s="4"/>
      <c r="L665" s="6">
        <f t="shared" si="10"/>
        <v>10.2634207240949</v>
      </c>
      <c r="M665" s="4"/>
    </row>
    <row r="666" spans="1:13">
      <c r="A666" s="3">
        <v>45813</v>
      </c>
      <c r="B666" s="4" t="s">
        <v>8</v>
      </c>
      <c r="C666" s="4" t="s">
        <v>24</v>
      </c>
      <c r="D666" s="4" t="s">
        <v>30</v>
      </c>
      <c r="E666" s="4">
        <v>9</v>
      </c>
      <c r="F666" s="4">
        <v>5736</v>
      </c>
      <c r="G666" s="4">
        <v>51624</v>
      </c>
      <c r="H666" s="4">
        <v>196731</v>
      </c>
      <c r="I666" s="4"/>
      <c r="J666" s="4"/>
      <c r="K666" s="4"/>
      <c r="L666" s="6">
        <f t="shared" si="10"/>
        <v>0.26240907635299</v>
      </c>
      <c r="M666" s="4"/>
    </row>
    <row r="667" spans="1:13">
      <c r="A667" s="3">
        <v>45831</v>
      </c>
      <c r="B667" s="4" t="s">
        <v>5</v>
      </c>
      <c r="C667" s="4" t="s">
        <v>24</v>
      </c>
      <c r="D667" s="4" t="s">
        <v>30</v>
      </c>
      <c r="E667" s="4">
        <v>8</v>
      </c>
      <c r="F667" s="4">
        <v>2645</v>
      </c>
      <c r="G667" s="4">
        <v>21160</v>
      </c>
      <c r="H667" s="4">
        <v>73196</v>
      </c>
      <c r="I667" s="4"/>
      <c r="J667" s="4"/>
      <c r="K667" s="4"/>
      <c r="L667" s="6">
        <f t="shared" si="10"/>
        <v>0.289086835346194</v>
      </c>
      <c r="M667" s="4"/>
    </row>
    <row r="668" spans="1:13">
      <c r="A668" s="3">
        <v>45664</v>
      </c>
      <c r="B668" s="4" t="s">
        <v>5</v>
      </c>
      <c r="C668" s="4" t="s">
        <v>26</v>
      </c>
      <c r="D668" s="4" t="s">
        <v>33</v>
      </c>
      <c r="E668" s="4">
        <v>6</v>
      </c>
      <c r="F668" s="4">
        <v>3984</v>
      </c>
      <c r="G668" s="4">
        <v>23904</v>
      </c>
      <c r="H668" s="4">
        <v>158842</v>
      </c>
      <c r="I668" s="4"/>
      <c r="J668" s="4"/>
      <c r="K668" s="4"/>
      <c r="L668" s="6">
        <f t="shared" si="10"/>
        <v>0.150489165334106</v>
      </c>
      <c r="M668" s="4"/>
    </row>
    <row r="669" spans="1:13">
      <c r="A669" s="3">
        <v>45741</v>
      </c>
      <c r="B669" s="4" t="s">
        <v>8</v>
      </c>
      <c r="C669" s="4" t="s">
        <v>28</v>
      </c>
      <c r="D669" s="4" t="s">
        <v>30</v>
      </c>
      <c r="E669" s="4">
        <v>7</v>
      </c>
      <c r="F669" s="4">
        <v>28773</v>
      </c>
      <c r="G669" s="4">
        <v>201411</v>
      </c>
      <c r="H669" s="4">
        <v>179215</v>
      </c>
      <c r="I669" s="4"/>
      <c r="J669" s="4"/>
      <c r="K669" s="4"/>
      <c r="L669" s="6">
        <f t="shared" si="10"/>
        <v>1.12385124013057</v>
      </c>
      <c r="M669" s="4"/>
    </row>
    <row r="670" spans="1:13">
      <c r="A670" s="3">
        <v>45670</v>
      </c>
      <c r="B670" s="4" t="s">
        <v>3</v>
      </c>
      <c r="C670" s="4" t="s">
        <v>28</v>
      </c>
      <c r="D670" s="4" t="s">
        <v>25</v>
      </c>
      <c r="E670" s="4">
        <v>6</v>
      </c>
      <c r="F670" s="4">
        <v>34126</v>
      </c>
      <c r="G670" s="4">
        <v>204756</v>
      </c>
      <c r="H670" s="4">
        <v>135735</v>
      </c>
      <c r="I670" s="4"/>
      <c r="J670" s="4"/>
      <c r="K670" s="4"/>
      <c r="L670" s="6">
        <f t="shared" si="10"/>
        <v>1.5084981765941</v>
      </c>
      <c r="M670" s="4"/>
    </row>
    <row r="671" spans="1:13">
      <c r="A671" s="3">
        <v>45676</v>
      </c>
      <c r="B671" s="4" t="s">
        <v>6</v>
      </c>
      <c r="C671" s="4" t="s">
        <v>24</v>
      </c>
      <c r="D671" s="4" t="s">
        <v>25</v>
      </c>
      <c r="E671" s="4">
        <v>8</v>
      </c>
      <c r="F671" s="4">
        <v>23702</v>
      </c>
      <c r="G671" s="4">
        <v>189616</v>
      </c>
      <c r="H671" s="4">
        <v>66036</v>
      </c>
      <c r="I671" s="4"/>
      <c r="J671" s="4"/>
      <c r="K671" s="4"/>
      <c r="L671" s="6">
        <f t="shared" si="10"/>
        <v>2.87140347689139</v>
      </c>
      <c r="M671" s="4"/>
    </row>
    <row r="672" spans="1:13">
      <c r="A672" s="3">
        <v>45769</v>
      </c>
      <c r="B672" s="4" t="s">
        <v>8</v>
      </c>
      <c r="C672" s="4" t="s">
        <v>26</v>
      </c>
      <c r="D672" s="4" t="s">
        <v>33</v>
      </c>
      <c r="E672" s="4">
        <v>5</v>
      </c>
      <c r="F672" s="4">
        <v>34889</v>
      </c>
      <c r="G672" s="4">
        <v>174445</v>
      </c>
      <c r="H672" s="4">
        <v>55792</v>
      </c>
      <c r="I672" s="4"/>
      <c r="J672" s="4"/>
      <c r="K672" s="4"/>
      <c r="L672" s="6">
        <f t="shared" si="10"/>
        <v>3.12670275308288</v>
      </c>
      <c r="M672" s="4"/>
    </row>
    <row r="673" spans="1:13">
      <c r="A673" s="3">
        <v>45778</v>
      </c>
      <c r="B673" s="4" t="s">
        <v>3</v>
      </c>
      <c r="C673" s="4" t="s">
        <v>26</v>
      </c>
      <c r="D673" s="4" t="s">
        <v>29</v>
      </c>
      <c r="E673" s="4">
        <v>3</v>
      </c>
      <c r="F673" s="4">
        <v>39161</v>
      </c>
      <c r="G673" s="4">
        <v>117483</v>
      </c>
      <c r="H673" s="4">
        <v>147514</v>
      </c>
      <c r="I673" s="4"/>
      <c r="J673" s="4"/>
      <c r="K673" s="4"/>
      <c r="L673" s="6">
        <f t="shared" si="10"/>
        <v>0.796419322911724</v>
      </c>
      <c r="M673" s="4"/>
    </row>
    <row r="674" spans="1:13">
      <c r="A674" s="3">
        <v>45705</v>
      </c>
      <c r="B674" s="4" t="s">
        <v>3</v>
      </c>
      <c r="C674" s="4" t="s">
        <v>24</v>
      </c>
      <c r="D674" s="4" t="s">
        <v>31</v>
      </c>
      <c r="E674" s="4">
        <v>6</v>
      </c>
      <c r="F674" s="4">
        <v>39794</v>
      </c>
      <c r="G674" s="4">
        <v>238764</v>
      </c>
      <c r="H674" s="4">
        <v>174873</v>
      </c>
      <c r="I674" s="4"/>
      <c r="J674" s="4"/>
      <c r="K674" s="4"/>
      <c r="L674" s="6">
        <f t="shared" si="10"/>
        <v>1.36535657305587</v>
      </c>
      <c r="M674" s="4"/>
    </row>
    <row r="675" spans="1:13">
      <c r="A675" s="3">
        <v>45803</v>
      </c>
      <c r="B675" s="4" t="s">
        <v>8</v>
      </c>
      <c r="C675" s="4" t="s">
        <v>24</v>
      </c>
      <c r="D675" s="4" t="s">
        <v>25</v>
      </c>
      <c r="E675" s="4">
        <v>3</v>
      </c>
      <c r="F675" s="4">
        <v>47579</v>
      </c>
      <c r="G675" s="4">
        <v>142737</v>
      </c>
      <c r="H675" s="4">
        <v>69688</v>
      </c>
      <c r="I675" s="4"/>
      <c r="J675" s="4"/>
      <c r="K675" s="4"/>
      <c r="L675" s="6">
        <f t="shared" si="10"/>
        <v>2.04822925037309</v>
      </c>
      <c r="M675" s="4"/>
    </row>
    <row r="676" spans="1:13">
      <c r="A676" s="3">
        <v>45725</v>
      </c>
      <c r="B676" s="4" t="s">
        <v>5</v>
      </c>
      <c r="C676" s="4" t="s">
        <v>22</v>
      </c>
      <c r="D676" s="4" t="s">
        <v>29</v>
      </c>
      <c r="E676" s="4">
        <v>6</v>
      </c>
      <c r="F676" s="4">
        <v>1800</v>
      </c>
      <c r="G676" s="4">
        <v>10800</v>
      </c>
      <c r="H676" s="4">
        <v>157871</v>
      </c>
      <c r="I676" s="4"/>
      <c r="J676" s="4"/>
      <c r="K676" s="4"/>
      <c r="L676" s="6">
        <f t="shared" si="10"/>
        <v>0.06841028434608</v>
      </c>
      <c r="M676" s="4"/>
    </row>
    <row r="677" spans="1:13">
      <c r="A677" s="3">
        <v>45686</v>
      </c>
      <c r="B677" s="4" t="s">
        <v>7</v>
      </c>
      <c r="C677" s="4" t="s">
        <v>22</v>
      </c>
      <c r="D677" s="4" t="s">
        <v>29</v>
      </c>
      <c r="E677" s="4">
        <v>5</v>
      </c>
      <c r="F677" s="4">
        <v>2929</v>
      </c>
      <c r="G677" s="4">
        <v>14645</v>
      </c>
      <c r="H677" s="4">
        <v>90804</v>
      </c>
      <c r="I677" s="4"/>
      <c r="J677" s="4"/>
      <c r="K677" s="4"/>
      <c r="L677" s="6">
        <f t="shared" si="10"/>
        <v>0.161281441346196</v>
      </c>
      <c r="M677" s="4"/>
    </row>
    <row r="678" spans="1:13">
      <c r="A678" s="3">
        <v>45661</v>
      </c>
      <c r="B678" s="4" t="s">
        <v>5</v>
      </c>
      <c r="C678" s="4" t="s">
        <v>28</v>
      </c>
      <c r="D678" s="4" t="s">
        <v>32</v>
      </c>
      <c r="E678" s="4">
        <v>6</v>
      </c>
      <c r="F678" s="4">
        <v>40344</v>
      </c>
      <c r="G678" s="4">
        <v>242064</v>
      </c>
      <c r="H678" s="4">
        <v>45919</v>
      </c>
      <c r="I678" s="4"/>
      <c r="J678" s="4"/>
      <c r="K678" s="4"/>
      <c r="L678" s="6">
        <f t="shared" si="10"/>
        <v>5.2715433698469</v>
      </c>
      <c r="M678" s="4"/>
    </row>
    <row r="679" spans="1:13">
      <c r="A679" s="3">
        <v>45777</v>
      </c>
      <c r="B679" s="4" t="s">
        <v>2</v>
      </c>
      <c r="C679" s="4" t="s">
        <v>28</v>
      </c>
      <c r="D679" s="4" t="s">
        <v>31</v>
      </c>
      <c r="E679" s="4">
        <v>5</v>
      </c>
      <c r="F679" s="4">
        <v>31199</v>
      </c>
      <c r="G679" s="4">
        <v>155995</v>
      </c>
      <c r="H679" s="4">
        <v>101423</v>
      </c>
      <c r="I679" s="4"/>
      <c r="J679" s="4"/>
      <c r="K679" s="4"/>
      <c r="L679" s="6">
        <f t="shared" si="10"/>
        <v>1.53806335840983</v>
      </c>
      <c r="M679" s="4"/>
    </row>
    <row r="680" spans="1:13">
      <c r="A680" s="3">
        <v>45712</v>
      </c>
      <c r="B680" s="4" t="s">
        <v>3</v>
      </c>
      <c r="C680" s="4" t="s">
        <v>22</v>
      </c>
      <c r="D680" s="4" t="s">
        <v>33</v>
      </c>
      <c r="E680" s="4">
        <v>8</v>
      </c>
      <c r="F680" s="4">
        <v>3398</v>
      </c>
      <c r="G680" s="4">
        <v>27184</v>
      </c>
      <c r="H680" s="4">
        <v>96830</v>
      </c>
      <c r="I680" s="4"/>
      <c r="J680" s="4"/>
      <c r="K680" s="4"/>
      <c r="L680" s="6">
        <f t="shared" si="10"/>
        <v>0.280739440256119</v>
      </c>
      <c r="M680" s="4"/>
    </row>
    <row r="681" spans="1:13">
      <c r="A681" s="3">
        <v>45737</v>
      </c>
      <c r="B681" s="4" t="s">
        <v>5</v>
      </c>
      <c r="C681" s="4" t="s">
        <v>22</v>
      </c>
      <c r="D681" s="4" t="s">
        <v>32</v>
      </c>
      <c r="E681" s="4">
        <v>6</v>
      </c>
      <c r="F681" s="4">
        <v>44971</v>
      </c>
      <c r="G681" s="4">
        <v>269826</v>
      </c>
      <c r="H681" s="4">
        <v>122054</v>
      </c>
      <c r="I681" s="4"/>
      <c r="J681" s="4"/>
      <c r="K681" s="4"/>
      <c r="L681" s="6">
        <f t="shared" si="10"/>
        <v>2.21071001360054</v>
      </c>
      <c r="M681" s="4"/>
    </row>
    <row r="682" spans="1:13">
      <c r="A682" s="3">
        <v>45694</v>
      </c>
      <c r="B682" s="4" t="s">
        <v>7</v>
      </c>
      <c r="C682" s="4" t="s">
        <v>26</v>
      </c>
      <c r="D682" s="4" t="s">
        <v>31</v>
      </c>
      <c r="E682" s="4">
        <v>2</v>
      </c>
      <c r="F682" s="4">
        <v>46862</v>
      </c>
      <c r="G682" s="4">
        <v>93724</v>
      </c>
      <c r="H682" s="4">
        <v>91848</v>
      </c>
      <c r="I682" s="4"/>
      <c r="J682" s="4"/>
      <c r="K682" s="4"/>
      <c r="L682" s="6">
        <f t="shared" si="10"/>
        <v>1.02042505008275</v>
      </c>
      <c r="M682" s="4"/>
    </row>
    <row r="683" spans="1:13">
      <c r="A683" s="3">
        <v>45802</v>
      </c>
      <c r="B683" s="4" t="s">
        <v>5</v>
      </c>
      <c r="C683" s="4" t="s">
        <v>28</v>
      </c>
      <c r="D683" s="4" t="s">
        <v>29</v>
      </c>
      <c r="E683" s="4">
        <v>6</v>
      </c>
      <c r="F683" s="4">
        <v>36346</v>
      </c>
      <c r="G683" s="4">
        <v>218076</v>
      </c>
      <c r="H683" s="4">
        <v>183274</v>
      </c>
      <c r="I683" s="4"/>
      <c r="J683" s="4"/>
      <c r="K683" s="4"/>
      <c r="L683" s="6">
        <f t="shared" si="10"/>
        <v>1.18989054639502</v>
      </c>
      <c r="M683" s="4"/>
    </row>
    <row r="684" spans="1:13">
      <c r="A684" s="3">
        <v>45700</v>
      </c>
      <c r="B684" s="4" t="s">
        <v>4</v>
      </c>
      <c r="C684" s="4" t="s">
        <v>26</v>
      </c>
      <c r="D684" s="4" t="s">
        <v>31</v>
      </c>
      <c r="E684" s="4">
        <v>5</v>
      </c>
      <c r="F684" s="4">
        <v>28946</v>
      </c>
      <c r="G684" s="4">
        <v>144730</v>
      </c>
      <c r="H684" s="4">
        <v>71451</v>
      </c>
      <c r="I684" s="4"/>
      <c r="J684" s="4"/>
      <c r="K684" s="4"/>
      <c r="L684" s="6">
        <f t="shared" si="10"/>
        <v>2.02558396663448</v>
      </c>
      <c r="M684" s="4"/>
    </row>
    <row r="685" spans="1:13">
      <c r="A685" s="3">
        <v>45771</v>
      </c>
      <c r="B685" s="4" t="s">
        <v>6</v>
      </c>
      <c r="C685" s="4" t="s">
        <v>28</v>
      </c>
      <c r="D685" s="4" t="s">
        <v>27</v>
      </c>
      <c r="E685" s="4">
        <v>1</v>
      </c>
      <c r="F685" s="4">
        <v>6463</v>
      </c>
      <c r="G685" s="4">
        <v>6463</v>
      </c>
      <c r="H685" s="4">
        <v>121709</v>
      </c>
      <c r="I685" s="4"/>
      <c r="J685" s="4"/>
      <c r="K685" s="4"/>
      <c r="L685" s="6">
        <f t="shared" si="10"/>
        <v>0.0531020713340838</v>
      </c>
      <c r="M685" s="4"/>
    </row>
    <row r="686" spans="1:13">
      <c r="A686" s="3">
        <v>45777</v>
      </c>
      <c r="B686" s="4" t="s">
        <v>8</v>
      </c>
      <c r="C686" s="4" t="s">
        <v>26</v>
      </c>
      <c r="D686" s="4" t="s">
        <v>30</v>
      </c>
      <c r="E686" s="4">
        <v>9</v>
      </c>
      <c r="F686" s="4">
        <v>46550</v>
      </c>
      <c r="G686" s="4">
        <v>418950</v>
      </c>
      <c r="H686" s="4">
        <v>16569</v>
      </c>
      <c r="I686" s="4"/>
      <c r="J686" s="4"/>
      <c r="K686" s="4"/>
      <c r="L686" s="6">
        <f t="shared" si="10"/>
        <v>25.2851711026616</v>
      </c>
      <c r="M686" s="4"/>
    </row>
    <row r="687" spans="1:13">
      <c r="A687" s="3">
        <v>45764</v>
      </c>
      <c r="B687" s="4" t="s">
        <v>8</v>
      </c>
      <c r="C687" s="4" t="s">
        <v>22</v>
      </c>
      <c r="D687" s="4" t="s">
        <v>31</v>
      </c>
      <c r="E687" s="4">
        <v>10</v>
      </c>
      <c r="F687" s="4">
        <v>38808</v>
      </c>
      <c r="G687" s="4">
        <v>388080</v>
      </c>
      <c r="H687" s="4">
        <v>157574</v>
      </c>
      <c r="I687" s="4"/>
      <c r="J687" s="4"/>
      <c r="K687" s="4"/>
      <c r="L687" s="6">
        <f t="shared" si="10"/>
        <v>2.46284285478569</v>
      </c>
      <c r="M687" s="4"/>
    </row>
    <row r="688" spans="1:13">
      <c r="A688" s="3">
        <v>45750</v>
      </c>
      <c r="B688" s="4" t="s">
        <v>3</v>
      </c>
      <c r="C688" s="4" t="s">
        <v>24</v>
      </c>
      <c r="D688" s="4" t="s">
        <v>29</v>
      </c>
      <c r="E688" s="4">
        <v>10</v>
      </c>
      <c r="F688" s="4">
        <v>45018</v>
      </c>
      <c r="G688" s="4">
        <v>450180</v>
      </c>
      <c r="H688" s="4">
        <v>112483</v>
      </c>
      <c r="I688" s="4"/>
      <c r="J688" s="4"/>
      <c r="K688" s="4"/>
      <c r="L688" s="6">
        <f t="shared" si="10"/>
        <v>4.00220477761084</v>
      </c>
      <c r="M688" s="4"/>
    </row>
    <row r="689" spans="1:13">
      <c r="A689" s="3">
        <v>45736</v>
      </c>
      <c r="B689" s="4" t="s">
        <v>8</v>
      </c>
      <c r="C689" s="4" t="s">
        <v>24</v>
      </c>
      <c r="D689" s="4" t="s">
        <v>31</v>
      </c>
      <c r="E689" s="4">
        <v>2</v>
      </c>
      <c r="F689" s="4">
        <v>12170</v>
      </c>
      <c r="G689" s="4">
        <v>24340</v>
      </c>
      <c r="H689" s="4">
        <v>32703</v>
      </c>
      <c r="I689" s="4"/>
      <c r="J689" s="4"/>
      <c r="K689" s="4"/>
      <c r="L689" s="6">
        <f t="shared" si="10"/>
        <v>0.744274225606213</v>
      </c>
      <c r="M689" s="4"/>
    </row>
    <row r="690" spans="1:13">
      <c r="A690" s="3">
        <v>45754</v>
      </c>
      <c r="B690" s="4" t="s">
        <v>6</v>
      </c>
      <c r="C690" s="4" t="s">
        <v>24</v>
      </c>
      <c r="D690" s="4" t="s">
        <v>31</v>
      </c>
      <c r="E690" s="4">
        <v>10</v>
      </c>
      <c r="F690" s="4">
        <v>3713</v>
      </c>
      <c r="G690" s="4">
        <v>37130</v>
      </c>
      <c r="H690" s="4">
        <v>115774</v>
      </c>
      <c r="I690" s="4"/>
      <c r="J690" s="4"/>
      <c r="K690" s="4"/>
      <c r="L690" s="6">
        <f t="shared" si="10"/>
        <v>0.320711040475409</v>
      </c>
      <c r="M690" s="4"/>
    </row>
    <row r="691" spans="1:13">
      <c r="A691" s="3">
        <v>45826</v>
      </c>
      <c r="B691" s="4" t="s">
        <v>2</v>
      </c>
      <c r="C691" s="4" t="s">
        <v>24</v>
      </c>
      <c r="D691" s="4" t="s">
        <v>25</v>
      </c>
      <c r="E691" s="4">
        <v>1</v>
      </c>
      <c r="F691" s="4">
        <v>6982</v>
      </c>
      <c r="G691" s="4">
        <v>6982</v>
      </c>
      <c r="H691" s="4">
        <v>106077</v>
      </c>
      <c r="I691" s="4"/>
      <c r="J691" s="4"/>
      <c r="K691" s="4"/>
      <c r="L691" s="6">
        <f t="shared" si="10"/>
        <v>0.0658201118055752</v>
      </c>
      <c r="M691" s="4"/>
    </row>
    <row r="692" spans="1:13">
      <c r="A692" s="3">
        <v>45715</v>
      </c>
      <c r="B692" s="4" t="s">
        <v>2</v>
      </c>
      <c r="C692" s="4" t="s">
        <v>24</v>
      </c>
      <c r="D692" s="4" t="s">
        <v>30</v>
      </c>
      <c r="E692" s="4">
        <v>10</v>
      </c>
      <c r="F692" s="4">
        <v>14651</v>
      </c>
      <c r="G692" s="4">
        <v>146510</v>
      </c>
      <c r="H692" s="4">
        <v>191697</v>
      </c>
      <c r="I692" s="4"/>
      <c r="J692" s="4"/>
      <c r="K692" s="4"/>
      <c r="L692" s="6">
        <f t="shared" si="10"/>
        <v>0.764279044533822</v>
      </c>
      <c r="M692" s="4"/>
    </row>
    <row r="693" spans="1:13">
      <c r="A693" s="3">
        <v>45763</v>
      </c>
      <c r="B693" s="4" t="s">
        <v>8</v>
      </c>
      <c r="C693" s="4" t="s">
        <v>24</v>
      </c>
      <c r="D693" s="4" t="s">
        <v>31</v>
      </c>
      <c r="E693" s="4">
        <v>1</v>
      </c>
      <c r="F693" s="4">
        <v>28144</v>
      </c>
      <c r="G693" s="4">
        <v>28144</v>
      </c>
      <c r="H693" s="4">
        <v>84820</v>
      </c>
      <c r="I693" s="4"/>
      <c r="J693" s="4"/>
      <c r="K693" s="4"/>
      <c r="L693" s="6">
        <f t="shared" si="10"/>
        <v>0.331808535722707</v>
      </c>
      <c r="M693" s="4"/>
    </row>
    <row r="694" spans="1:13">
      <c r="A694" s="3">
        <v>45823</v>
      </c>
      <c r="B694" s="4" t="s">
        <v>2</v>
      </c>
      <c r="C694" s="4" t="s">
        <v>28</v>
      </c>
      <c r="D694" s="4" t="s">
        <v>25</v>
      </c>
      <c r="E694" s="4">
        <v>1</v>
      </c>
      <c r="F694" s="4">
        <v>37365</v>
      </c>
      <c r="G694" s="4">
        <v>37365</v>
      </c>
      <c r="H694" s="4">
        <v>139613</v>
      </c>
      <c r="I694" s="4"/>
      <c r="J694" s="4"/>
      <c r="K694" s="4"/>
      <c r="L694" s="6">
        <f t="shared" si="10"/>
        <v>0.267632670310071</v>
      </c>
      <c r="M694" s="4"/>
    </row>
    <row r="695" spans="1:13">
      <c r="A695" s="3">
        <v>45780</v>
      </c>
      <c r="B695" s="4" t="s">
        <v>3</v>
      </c>
      <c r="C695" s="4" t="s">
        <v>24</v>
      </c>
      <c r="D695" s="4" t="s">
        <v>27</v>
      </c>
      <c r="E695" s="4">
        <v>3</v>
      </c>
      <c r="F695" s="4">
        <v>15106</v>
      </c>
      <c r="G695" s="4">
        <v>45318</v>
      </c>
      <c r="H695" s="4">
        <v>13380</v>
      </c>
      <c r="I695" s="4"/>
      <c r="J695" s="4"/>
      <c r="K695" s="4"/>
      <c r="L695" s="6">
        <f t="shared" si="10"/>
        <v>3.38699551569507</v>
      </c>
      <c r="M695" s="4"/>
    </row>
    <row r="696" spans="1:13">
      <c r="A696" s="3">
        <v>45814</v>
      </c>
      <c r="B696" s="4" t="s">
        <v>4</v>
      </c>
      <c r="C696" s="4" t="s">
        <v>22</v>
      </c>
      <c r="D696" s="4" t="s">
        <v>30</v>
      </c>
      <c r="E696" s="4">
        <v>6</v>
      </c>
      <c r="F696" s="4">
        <v>29452</v>
      </c>
      <c r="G696" s="4">
        <v>176712</v>
      </c>
      <c r="H696" s="4">
        <v>59843</v>
      </c>
      <c r="I696" s="4"/>
      <c r="J696" s="4"/>
      <c r="K696" s="4"/>
      <c r="L696" s="6">
        <f t="shared" si="10"/>
        <v>2.95292682519259</v>
      </c>
      <c r="M696" s="4"/>
    </row>
    <row r="697" spans="1:13">
      <c r="A697" s="3">
        <v>45707</v>
      </c>
      <c r="B697" s="4" t="s">
        <v>7</v>
      </c>
      <c r="C697" s="4" t="s">
        <v>28</v>
      </c>
      <c r="D697" s="4" t="s">
        <v>31</v>
      </c>
      <c r="E697" s="4">
        <v>4</v>
      </c>
      <c r="F697" s="4">
        <v>25244</v>
      </c>
      <c r="G697" s="4">
        <v>100976</v>
      </c>
      <c r="H697" s="4">
        <v>3267</v>
      </c>
      <c r="I697" s="4"/>
      <c r="J697" s="4"/>
      <c r="K697" s="4"/>
      <c r="L697" s="6">
        <f t="shared" si="10"/>
        <v>30.9078665442302</v>
      </c>
      <c r="M697" s="4"/>
    </row>
    <row r="698" spans="1:13">
      <c r="A698" s="3">
        <v>45740</v>
      </c>
      <c r="B698" s="4" t="s">
        <v>2</v>
      </c>
      <c r="C698" s="4" t="s">
        <v>28</v>
      </c>
      <c r="D698" s="4" t="s">
        <v>32</v>
      </c>
      <c r="E698" s="4">
        <v>3</v>
      </c>
      <c r="F698" s="4">
        <v>27426</v>
      </c>
      <c r="G698" s="4">
        <v>82278</v>
      </c>
      <c r="H698" s="4">
        <v>29764</v>
      </c>
      <c r="I698" s="4"/>
      <c r="J698" s="4"/>
      <c r="K698" s="4"/>
      <c r="L698" s="6">
        <f t="shared" si="10"/>
        <v>2.76434619002822</v>
      </c>
      <c r="M698" s="4"/>
    </row>
    <row r="699" spans="1:13">
      <c r="A699" s="3">
        <v>45815</v>
      </c>
      <c r="B699" s="4" t="s">
        <v>4</v>
      </c>
      <c r="C699" s="4" t="s">
        <v>24</v>
      </c>
      <c r="D699" s="4" t="s">
        <v>30</v>
      </c>
      <c r="E699" s="4">
        <v>2</v>
      </c>
      <c r="F699" s="4">
        <v>3219</v>
      </c>
      <c r="G699" s="4">
        <v>6438</v>
      </c>
      <c r="H699" s="4">
        <v>4055</v>
      </c>
      <c r="I699" s="4"/>
      <c r="J699" s="4"/>
      <c r="K699" s="4"/>
      <c r="L699" s="6">
        <f t="shared" si="10"/>
        <v>1.58766954377312</v>
      </c>
      <c r="M699" s="4"/>
    </row>
    <row r="700" spans="1:13">
      <c r="A700" s="3">
        <v>45811</v>
      </c>
      <c r="B700" s="4" t="s">
        <v>2</v>
      </c>
      <c r="C700" s="4" t="s">
        <v>26</v>
      </c>
      <c r="D700" s="4" t="s">
        <v>25</v>
      </c>
      <c r="E700" s="4">
        <v>4</v>
      </c>
      <c r="F700" s="4">
        <v>43508</v>
      </c>
      <c r="G700" s="4">
        <v>174032</v>
      </c>
      <c r="H700" s="4">
        <v>111825</v>
      </c>
      <c r="I700" s="4"/>
      <c r="J700" s="4"/>
      <c r="K700" s="4"/>
      <c r="L700" s="6">
        <f t="shared" si="10"/>
        <v>1.55628884417617</v>
      </c>
      <c r="M700" s="4"/>
    </row>
    <row r="701" spans="1:13">
      <c r="A701" s="3">
        <v>45713</v>
      </c>
      <c r="B701" s="4" t="s">
        <v>6</v>
      </c>
      <c r="C701" s="4" t="s">
        <v>28</v>
      </c>
      <c r="D701" s="4" t="s">
        <v>23</v>
      </c>
      <c r="E701" s="4">
        <v>10</v>
      </c>
      <c r="F701" s="4">
        <v>15078</v>
      </c>
      <c r="G701" s="4">
        <v>150780</v>
      </c>
      <c r="H701" s="4">
        <v>34566</v>
      </c>
      <c r="I701" s="4"/>
      <c r="J701" s="4"/>
      <c r="K701" s="4"/>
      <c r="L701" s="6">
        <f t="shared" si="10"/>
        <v>4.36208991494532</v>
      </c>
      <c r="M701" s="4"/>
    </row>
    <row r="702" spans="1:13">
      <c r="A702" s="3">
        <v>45718</v>
      </c>
      <c r="B702" s="4" t="s">
        <v>5</v>
      </c>
      <c r="C702" s="4" t="s">
        <v>24</v>
      </c>
      <c r="D702" s="4" t="s">
        <v>25</v>
      </c>
      <c r="E702" s="4">
        <v>6</v>
      </c>
      <c r="F702" s="4">
        <v>45044</v>
      </c>
      <c r="G702" s="4">
        <v>270264</v>
      </c>
      <c r="H702" s="4">
        <v>95957</v>
      </c>
      <c r="I702" s="4"/>
      <c r="J702" s="4"/>
      <c r="K702" s="4"/>
      <c r="L702" s="6">
        <f t="shared" si="10"/>
        <v>2.81651156247069</v>
      </c>
      <c r="M702" s="4"/>
    </row>
    <row r="703" spans="1:13">
      <c r="A703" s="3">
        <v>45773</v>
      </c>
      <c r="B703" s="4" t="s">
        <v>8</v>
      </c>
      <c r="C703" s="4" t="s">
        <v>28</v>
      </c>
      <c r="D703" s="4" t="s">
        <v>31</v>
      </c>
      <c r="E703" s="4">
        <v>7</v>
      </c>
      <c r="F703" s="4">
        <v>33839</v>
      </c>
      <c r="G703" s="4">
        <v>236873</v>
      </c>
      <c r="H703" s="4">
        <v>108843</v>
      </c>
      <c r="I703" s="4"/>
      <c r="J703" s="4"/>
      <c r="K703" s="4"/>
      <c r="L703" s="6">
        <f t="shared" si="10"/>
        <v>2.17628143288957</v>
      </c>
      <c r="M703" s="4"/>
    </row>
    <row r="704" spans="1:13">
      <c r="A704" s="3">
        <v>45712</v>
      </c>
      <c r="B704" s="4" t="s">
        <v>7</v>
      </c>
      <c r="C704" s="4" t="s">
        <v>26</v>
      </c>
      <c r="D704" s="4" t="s">
        <v>25</v>
      </c>
      <c r="E704" s="4">
        <v>1</v>
      </c>
      <c r="F704" s="4">
        <v>39998</v>
      </c>
      <c r="G704" s="4">
        <v>39998</v>
      </c>
      <c r="H704" s="4">
        <v>159170</v>
      </c>
      <c r="I704" s="4"/>
      <c r="J704" s="4"/>
      <c r="K704" s="4"/>
      <c r="L704" s="6">
        <f t="shared" si="10"/>
        <v>0.251291072438274</v>
      </c>
      <c r="M704" s="4"/>
    </row>
    <row r="705" spans="1:13">
      <c r="A705" s="3">
        <v>45759</v>
      </c>
      <c r="B705" s="4" t="s">
        <v>8</v>
      </c>
      <c r="C705" s="4" t="s">
        <v>22</v>
      </c>
      <c r="D705" s="4" t="s">
        <v>23</v>
      </c>
      <c r="E705" s="4">
        <v>6</v>
      </c>
      <c r="F705" s="4">
        <v>45069</v>
      </c>
      <c r="G705" s="4">
        <v>270414</v>
      </c>
      <c r="H705" s="4">
        <v>120069</v>
      </c>
      <c r="I705" s="4"/>
      <c r="J705" s="4"/>
      <c r="K705" s="4"/>
      <c r="L705" s="6">
        <f t="shared" si="10"/>
        <v>2.25215501086875</v>
      </c>
      <c r="M705" s="4"/>
    </row>
    <row r="706" spans="1:13">
      <c r="A706" s="3">
        <v>45758</v>
      </c>
      <c r="B706" s="4" t="s">
        <v>5</v>
      </c>
      <c r="C706" s="4" t="s">
        <v>24</v>
      </c>
      <c r="D706" s="4" t="s">
        <v>30</v>
      </c>
      <c r="E706" s="4">
        <v>7</v>
      </c>
      <c r="F706" s="4">
        <v>14780</v>
      </c>
      <c r="G706" s="4">
        <v>103460</v>
      </c>
      <c r="H706" s="4">
        <v>197802</v>
      </c>
      <c r="I706" s="4"/>
      <c r="J706" s="4"/>
      <c r="K706" s="4"/>
      <c r="L706" s="6">
        <f t="shared" si="10"/>
        <v>0.523048300826079</v>
      </c>
      <c r="M706" s="4"/>
    </row>
    <row r="707" spans="1:13">
      <c r="A707" s="3">
        <v>45819</v>
      </c>
      <c r="B707" s="4" t="s">
        <v>7</v>
      </c>
      <c r="C707" s="4" t="s">
        <v>22</v>
      </c>
      <c r="D707" s="4" t="s">
        <v>27</v>
      </c>
      <c r="E707" s="4">
        <v>6</v>
      </c>
      <c r="F707" s="4">
        <v>17134</v>
      </c>
      <c r="G707" s="4">
        <v>102804</v>
      </c>
      <c r="H707" s="4">
        <v>138686</v>
      </c>
      <c r="I707" s="4"/>
      <c r="J707" s="4"/>
      <c r="K707" s="4"/>
      <c r="L707" s="6">
        <f t="shared" ref="L707:L770" si="11">G707/H707</f>
        <v>0.741271649625773</v>
      </c>
      <c r="M707" s="4"/>
    </row>
    <row r="708" spans="1:13">
      <c r="A708" s="3">
        <v>45664</v>
      </c>
      <c r="B708" s="4" t="s">
        <v>8</v>
      </c>
      <c r="C708" s="4" t="s">
        <v>24</v>
      </c>
      <c r="D708" s="4" t="s">
        <v>25</v>
      </c>
      <c r="E708" s="4">
        <v>10</v>
      </c>
      <c r="F708" s="4">
        <v>23849</v>
      </c>
      <c r="G708" s="4">
        <v>238490</v>
      </c>
      <c r="H708" s="4">
        <v>71128</v>
      </c>
      <c r="I708" s="4"/>
      <c r="J708" s="4"/>
      <c r="K708" s="4"/>
      <c r="L708" s="6">
        <f t="shared" si="11"/>
        <v>3.35296929479249</v>
      </c>
      <c r="M708" s="4"/>
    </row>
    <row r="709" spans="1:13">
      <c r="A709" s="3">
        <v>45690</v>
      </c>
      <c r="B709" s="4" t="s">
        <v>7</v>
      </c>
      <c r="C709" s="4" t="s">
        <v>24</v>
      </c>
      <c r="D709" s="4" t="s">
        <v>27</v>
      </c>
      <c r="E709" s="4">
        <v>5</v>
      </c>
      <c r="F709" s="4">
        <v>2022</v>
      </c>
      <c r="G709" s="4">
        <v>10110</v>
      </c>
      <c r="H709" s="4">
        <v>122793</v>
      </c>
      <c r="I709" s="4"/>
      <c r="J709" s="4"/>
      <c r="K709" s="4"/>
      <c r="L709" s="6">
        <f t="shared" si="11"/>
        <v>0.0823336835161613</v>
      </c>
      <c r="M709" s="4"/>
    </row>
    <row r="710" spans="1:13">
      <c r="A710" s="3">
        <v>45761</v>
      </c>
      <c r="B710" s="4" t="s">
        <v>2</v>
      </c>
      <c r="C710" s="4" t="s">
        <v>28</v>
      </c>
      <c r="D710" s="4" t="s">
        <v>25</v>
      </c>
      <c r="E710" s="4">
        <v>6</v>
      </c>
      <c r="F710" s="4">
        <v>47526</v>
      </c>
      <c r="G710" s="4">
        <v>285156</v>
      </c>
      <c r="H710" s="4">
        <v>26990</v>
      </c>
      <c r="I710" s="4"/>
      <c r="J710" s="4"/>
      <c r="K710" s="4"/>
      <c r="L710" s="6">
        <f t="shared" si="11"/>
        <v>10.5652463875509</v>
      </c>
      <c r="M710" s="4"/>
    </row>
    <row r="711" spans="1:13">
      <c r="A711" s="3">
        <v>45785</v>
      </c>
      <c r="B711" s="4" t="s">
        <v>7</v>
      </c>
      <c r="C711" s="4" t="s">
        <v>24</v>
      </c>
      <c r="D711" s="4" t="s">
        <v>29</v>
      </c>
      <c r="E711" s="4">
        <v>5</v>
      </c>
      <c r="F711" s="4">
        <v>14069</v>
      </c>
      <c r="G711" s="4">
        <v>70345</v>
      </c>
      <c r="H711" s="4">
        <v>154684</v>
      </c>
      <c r="I711" s="4"/>
      <c r="J711" s="4"/>
      <c r="K711" s="4"/>
      <c r="L711" s="6">
        <f t="shared" si="11"/>
        <v>0.454765845207003</v>
      </c>
      <c r="M711" s="4"/>
    </row>
    <row r="712" spans="1:13">
      <c r="A712" s="3">
        <v>45671</v>
      </c>
      <c r="B712" s="4" t="s">
        <v>3</v>
      </c>
      <c r="C712" s="4" t="s">
        <v>28</v>
      </c>
      <c r="D712" s="4" t="s">
        <v>25</v>
      </c>
      <c r="E712" s="4">
        <v>4</v>
      </c>
      <c r="F712" s="4">
        <v>9974</v>
      </c>
      <c r="G712" s="4">
        <v>39896</v>
      </c>
      <c r="H712" s="4">
        <v>99671</v>
      </c>
      <c r="I712" s="4"/>
      <c r="J712" s="4"/>
      <c r="K712" s="4"/>
      <c r="L712" s="6">
        <f t="shared" si="11"/>
        <v>0.400276911037313</v>
      </c>
      <c r="M712" s="4"/>
    </row>
    <row r="713" spans="1:13">
      <c r="A713" s="3">
        <v>45711</v>
      </c>
      <c r="B713" s="4" t="s">
        <v>2</v>
      </c>
      <c r="C713" s="4" t="s">
        <v>28</v>
      </c>
      <c r="D713" s="4" t="s">
        <v>23</v>
      </c>
      <c r="E713" s="4">
        <v>8</v>
      </c>
      <c r="F713" s="4">
        <v>47854</v>
      </c>
      <c r="G713" s="4">
        <v>382832</v>
      </c>
      <c r="H713" s="4">
        <v>49329</v>
      </c>
      <c r="I713" s="4"/>
      <c r="J713" s="4"/>
      <c r="K713" s="4"/>
      <c r="L713" s="6">
        <f t="shared" si="11"/>
        <v>7.76078979910397</v>
      </c>
      <c r="M713" s="4"/>
    </row>
    <row r="714" spans="1:13">
      <c r="A714" s="3">
        <v>45689</v>
      </c>
      <c r="B714" s="4" t="s">
        <v>6</v>
      </c>
      <c r="C714" s="4" t="s">
        <v>24</v>
      </c>
      <c r="D714" s="4" t="s">
        <v>32</v>
      </c>
      <c r="E714" s="4">
        <v>2</v>
      </c>
      <c r="F714" s="4">
        <v>27459</v>
      </c>
      <c r="G714" s="4">
        <v>54918</v>
      </c>
      <c r="H714" s="4">
        <v>189049</v>
      </c>
      <c r="I714" s="4"/>
      <c r="J714" s="4"/>
      <c r="K714" s="4"/>
      <c r="L714" s="6">
        <f t="shared" si="11"/>
        <v>0.290496114763897</v>
      </c>
      <c r="M714" s="4"/>
    </row>
    <row r="715" spans="1:13">
      <c r="A715" s="3">
        <v>45721</v>
      </c>
      <c r="B715" s="4" t="s">
        <v>3</v>
      </c>
      <c r="C715" s="4" t="s">
        <v>22</v>
      </c>
      <c r="D715" s="4" t="s">
        <v>25</v>
      </c>
      <c r="E715" s="4">
        <v>2</v>
      </c>
      <c r="F715" s="4">
        <v>4991</v>
      </c>
      <c r="G715" s="4">
        <v>9982</v>
      </c>
      <c r="H715" s="4">
        <v>146776</v>
      </c>
      <c r="I715" s="4"/>
      <c r="J715" s="4"/>
      <c r="K715" s="4"/>
      <c r="L715" s="6">
        <f t="shared" si="11"/>
        <v>0.0680083937428462</v>
      </c>
      <c r="M715" s="4"/>
    </row>
    <row r="716" spans="1:13">
      <c r="A716" s="3">
        <v>45810</v>
      </c>
      <c r="B716" s="4" t="s">
        <v>2</v>
      </c>
      <c r="C716" s="4" t="s">
        <v>28</v>
      </c>
      <c r="D716" s="4" t="s">
        <v>30</v>
      </c>
      <c r="E716" s="4">
        <v>6</v>
      </c>
      <c r="F716" s="4">
        <v>2779</v>
      </c>
      <c r="G716" s="4">
        <v>16674</v>
      </c>
      <c r="H716" s="4">
        <v>29263</v>
      </c>
      <c r="I716" s="4"/>
      <c r="J716" s="4"/>
      <c r="K716" s="4"/>
      <c r="L716" s="6">
        <f t="shared" si="11"/>
        <v>0.569798038478625</v>
      </c>
      <c r="M716" s="4"/>
    </row>
    <row r="717" spans="1:13">
      <c r="A717" s="3">
        <v>45734</v>
      </c>
      <c r="B717" s="4" t="s">
        <v>6</v>
      </c>
      <c r="C717" s="4" t="s">
        <v>24</v>
      </c>
      <c r="D717" s="4" t="s">
        <v>32</v>
      </c>
      <c r="E717" s="4">
        <v>1</v>
      </c>
      <c r="F717" s="4">
        <v>11565</v>
      </c>
      <c r="G717" s="4">
        <v>11565</v>
      </c>
      <c r="H717" s="4">
        <v>157724</v>
      </c>
      <c r="I717" s="4"/>
      <c r="J717" s="4"/>
      <c r="K717" s="4"/>
      <c r="L717" s="6">
        <f t="shared" si="11"/>
        <v>0.0733242879967538</v>
      </c>
      <c r="M717" s="4"/>
    </row>
    <row r="718" spans="1:13">
      <c r="A718" s="3">
        <v>45689</v>
      </c>
      <c r="B718" s="4" t="s">
        <v>7</v>
      </c>
      <c r="C718" s="4" t="s">
        <v>24</v>
      </c>
      <c r="D718" s="4" t="s">
        <v>31</v>
      </c>
      <c r="E718" s="4">
        <v>9</v>
      </c>
      <c r="F718" s="4">
        <v>976</v>
      </c>
      <c r="G718" s="4">
        <v>8784</v>
      </c>
      <c r="H718" s="4">
        <v>7258</v>
      </c>
      <c r="I718" s="4"/>
      <c r="J718" s="4"/>
      <c r="K718" s="4"/>
      <c r="L718" s="6">
        <f t="shared" si="11"/>
        <v>1.21025075778451</v>
      </c>
      <c r="M718" s="4"/>
    </row>
    <row r="719" spans="1:13">
      <c r="A719" s="3">
        <v>45708</v>
      </c>
      <c r="B719" s="4" t="s">
        <v>5</v>
      </c>
      <c r="C719" s="4" t="s">
        <v>22</v>
      </c>
      <c r="D719" s="4" t="s">
        <v>31</v>
      </c>
      <c r="E719" s="4">
        <v>2</v>
      </c>
      <c r="F719" s="4">
        <v>38161</v>
      </c>
      <c r="G719" s="4">
        <v>76322</v>
      </c>
      <c r="H719" s="4">
        <v>74453</v>
      </c>
      <c r="I719" s="4"/>
      <c r="J719" s="4"/>
      <c r="K719" s="4"/>
      <c r="L719" s="6">
        <f t="shared" si="11"/>
        <v>1.02510308516782</v>
      </c>
      <c r="M719" s="4"/>
    </row>
    <row r="720" spans="1:13">
      <c r="A720" s="3">
        <v>45673</v>
      </c>
      <c r="B720" s="4" t="s">
        <v>2</v>
      </c>
      <c r="C720" s="4" t="s">
        <v>24</v>
      </c>
      <c r="D720" s="4" t="s">
        <v>33</v>
      </c>
      <c r="E720" s="4">
        <v>9</v>
      </c>
      <c r="F720" s="4">
        <v>41821</v>
      </c>
      <c r="G720" s="4">
        <v>376389</v>
      </c>
      <c r="H720" s="4">
        <v>57193</v>
      </c>
      <c r="I720" s="4"/>
      <c r="J720" s="4"/>
      <c r="K720" s="4"/>
      <c r="L720" s="6">
        <f t="shared" si="11"/>
        <v>6.58103264385502</v>
      </c>
      <c r="M720" s="4"/>
    </row>
    <row r="721" spans="1:13">
      <c r="A721" s="3">
        <v>45759</v>
      </c>
      <c r="B721" s="4" t="s">
        <v>6</v>
      </c>
      <c r="C721" s="4" t="s">
        <v>26</v>
      </c>
      <c r="D721" s="4" t="s">
        <v>30</v>
      </c>
      <c r="E721" s="4">
        <v>4</v>
      </c>
      <c r="F721" s="4">
        <v>19957</v>
      </c>
      <c r="G721" s="4">
        <v>79828</v>
      </c>
      <c r="H721" s="4">
        <v>184322</v>
      </c>
      <c r="I721" s="4"/>
      <c r="J721" s="4"/>
      <c r="K721" s="4"/>
      <c r="L721" s="6">
        <f t="shared" si="11"/>
        <v>0.43308991872918</v>
      </c>
      <c r="M721" s="4"/>
    </row>
    <row r="722" spans="1:13">
      <c r="A722" s="3">
        <v>45742</v>
      </c>
      <c r="B722" s="4" t="s">
        <v>4</v>
      </c>
      <c r="C722" s="4" t="s">
        <v>24</v>
      </c>
      <c r="D722" s="4" t="s">
        <v>25</v>
      </c>
      <c r="E722" s="4">
        <v>8</v>
      </c>
      <c r="F722" s="4">
        <v>24846</v>
      </c>
      <c r="G722" s="4">
        <v>198768</v>
      </c>
      <c r="H722" s="4">
        <v>158013</v>
      </c>
      <c r="I722" s="4"/>
      <c r="J722" s="4"/>
      <c r="K722" s="4"/>
      <c r="L722" s="6">
        <f t="shared" si="11"/>
        <v>1.2579218165594</v>
      </c>
      <c r="M722" s="4"/>
    </row>
    <row r="723" spans="1:13">
      <c r="A723" s="3">
        <v>45773</v>
      </c>
      <c r="B723" s="4" t="s">
        <v>6</v>
      </c>
      <c r="C723" s="4" t="s">
        <v>24</v>
      </c>
      <c r="D723" s="4" t="s">
        <v>29</v>
      </c>
      <c r="E723" s="4">
        <v>3</v>
      </c>
      <c r="F723" s="4">
        <v>37071</v>
      </c>
      <c r="G723" s="4">
        <v>111213</v>
      </c>
      <c r="H723" s="4">
        <v>118081</v>
      </c>
      <c r="I723" s="4"/>
      <c r="J723" s="4"/>
      <c r="K723" s="4"/>
      <c r="L723" s="6">
        <f t="shared" si="11"/>
        <v>0.941836535937196</v>
      </c>
      <c r="M723" s="4"/>
    </row>
    <row r="724" spans="1:13">
      <c r="A724" s="3">
        <v>45753</v>
      </c>
      <c r="B724" s="4" t="s">
        <v>4</v>
      </c>
      <c r="C724" s="4" t="s">
        <v>22</v>
      </c>
      <c r="D724" s="4" t="s">
        <v>25</v>
      </c>
      <c r="E724" s="4">
        <v>9</v>
      </c>
      <c r="F724" s="4">
        <v>11981</v>
      </c>
      <c r="G724" s="4">
        <v>107829</v>
      </c>
      <c r="H724" s="4">
        <v>23818</v>
      </c>
      <c r="I724" s="4"/>
      <c r="J724" s="4"/>
      <c r="K724" s="4"/>
      <c r="L724" s="6">
        <f t="shared" si="11"/>
        <v>4.52720631455202</v>
      </c>
      <c r="M724" s="4"/>
    </row>
    <row r="725" spans="1:13">
      <c r="A725" s="3">
        <v>45670</v>
      </c>
      <c r="B725" s="4" t="s">
        <v>2</v>
      </c>
      <c r="C725" s="4" t="s">
        <v>22</v>
      </c>
      <c r="D725" s="4" t="s">
        <v>30</v>
      </c>
      <c r="E725" s="4">
        <v>7</v>
      </c>
      <c r="F725" s="4">
        <v>43497</v>
      </c>
      <c r="G725" s="4">
        <v>304479</v>
      </c>
      <c r="H725" s="4">
        <v>49433</v>
      </c>
      <c r="I725" s="4"/>
      <c r="J725" s="4"/>
      <c r="K725" s="4"/>
      <c r="L725" s="6">
        <f t="shared" si="11"/>
        <v>6.15942791252807</v>
      </c>
      <c r="M725" s="4"/>
    </row>
    <row r="726" spans="1:13">
      <c r="A726" s="3">
        <v>45663</v>
      </c>
      <c r="B726" s="4" t="s">
        <v>3</v>
      </c>
      <c r="C726" s="4" t="s">
        <v>28</v>
      </c>
      <c r="D726" s="4" t="s">
        <v>25</v>
      </c>
      <c r="E726" s="4">
        <v>4</v>
      </c>
      <c r="F726" s="4">
        <v>7988</v>
      </c>
      <c r="G726" s="4">
        <v>31952</v>
      </c>
      <c r="H726" s="4">
        <v>143754</v>
      </c>
      <c r="I726" s="4"/>
      <c r="J726" s="4"/>
      <c r="K726" s="4"/>
      <c r="L726" s="6">
        <f t="shared" si="11"/>
        <v>0.222268597743367</v>
      </c>
      <c r="M726" s="4"/>
    </row>
    <row r="727" spans="1:13">
      <c r="A727" s="3">
        <v>45717</v>
      </c>
      <c r="B727" s="4" t="s">
        <v>8</v>
      </c>
      <c r="C727" s="4" t="s">
        <v>24</v>
      </c>
      <c r="D727" s="4" t="s">
        <v>31</v>
      </c>
      <c r="E727" s="4">
        <v>1</v>
      </c>
      <c r="F727" s="4">
        <v>4925</v>
      </c>
      <c r="G727" s="4">
        <v>4925</v>
      </c>
      <c r="H727" s="4">
        <v>142160</v>
      </c>
      <c r="I727" s="4"/>
      <c r="J727" s="4"/>
      <c r="K727" s="4"/>
      <c r="L727" s="6">
        <f t="shared" si="11"/>
        <v>0.0346440630275746</v>
      </c>
      <c r="M727" s="4"/>
    </row>
    <row r="728" spans="1:13">
      <c r="A728" s="3">
        <v>45760</v>
      </c>
      <c r="B728" s="4" t="s">
        <v>4</v>
      </c>
      <c r="C728" s="4" t="s">
        <v>22</v>
      </c>
      <c r="D728" s="4" t="s">
        <v>31</v>
      </c>
      <c r="E728" s="4">
        <v>8</v>
      </c>
      <c r="F728" s="4">
        <v>18214</v>
      </c>
      <c r="G728" s="4">
        <v>145712</v>
      </c>
      <c r="H728" s="4">
        <v>2125</v>
      </c>
      <c r="I728" s="4"/>
      <c r="J728" s="4"/>
      <c r="K728" s="4"/>
      <c r="L728" s="6">
        <f t="shared" si="11"/>
        <v>68.5703529411765</v>
      </c>
      <c r="M728" s="4"/>
    </row>
    <row r="729" spans="1:13">
      <c r="A729" s="3">
        <v>45705</v>
      </c>
      <c r="B729" s="4" t="s">
        <v>4</v>
      </c>
      <c r="C729" s="4" t="s">
        <v>28</v>
      </c>
      <c r="D729" s="4" t="s">
        <v>27</v>
      </c>
      <c r="E729" s="4">
        <v>7</v>
      </c>
      <c r="F729" s="4">
        <v>47130</v>
      </c>
      <c r="G729" s="4">
        <v>329910</v>
      </c>
      <c r="H729" s="4">
        <v>142359</v>
      </c>
      <c r="I729" s="4"/>
      <c r="J729" s="4"/>
      <c r="K729" s="4"/>
      <c r="L729" s="6">
        <f t="shared" si="11"/>
        <v>2.31745095146777</v>
      </c>
      <c r="M729" s="4"/>
    </row>
    <row r="730" spans="1:13">
      <c r="A730" s="3">
        <v>45721</v>
      </c>
      <c r="B730" s="4" t="s">
        <v>6</v>
      </c>
      <c r="C730" s="4" t="s">
        <v>28</v>
      </c>
      <c r="D730" s="4" t="s">
        <v>31</v>
      </c>
      <c r="E730" s="4">
        <v>2</v>
      </c>
      <c r="F730" s="4">
        <v>16921</v>
      </c>
      <c r="G730" s="4">
        <v>33842</v>
      </c>
      <c r="H730" s="4">
        <v>189203</v>
      </c>
      <c r="I730" s="4"/>
      <c r="J730" s="4"/>
      <c r="K730" s="4"/>
      <c r="L730" s="6">
        <f t="shared" si="11"/>
        <v>0.178866085632892</v>
      </c>
      <c r="M730" s="4"/>
    </row>
    <row r="731" spans="1:13">
      <c r="A731" s="3">
        <v>45720</v>
      </c>
      <c r="B731" s="4" t="s">
        <v>3</v>
      </c>
      <c r="C731" s="4" t="s">
        <v>24</v>
      </c>
      <c r="D731" s="4" t="s">
        <v>27</v>
      </c>
      <c r="E731" s="4">
        <v>9</v>
      </c>
      <c r="F731" s="4">
        <v>44418</v>
      </c>
      <c r="G731" s="4">
        <v>399762</v>
      </c>
      <c r="H731" s="4">
        <v>94139</v>
      </c>
      <c r="I731" s="4"/>
      <c r="J731" s="4"/>
      <c r="K731" s="4"/>
      <c r="L731" s="6">
        <f t="shared" si="11"/>
        <v>4.24650782353754</v>
      </c>
      <c r="M731" s="4"/>
    </row>
    <row r="732" spans="1:13">
      <c r="A732" s="3">
        <v>45761</v>
      </c>
      <c r="B732" s="4" t="s">
        <v>6</v>
      </c>
      <c r="C732" s="4" t="s">
        <v>22</v>
      </c>
      <c r="D732" s="4" t="s">
        <v>30</v>
      </c>
      <c r="E732" s="4">
        <v>9</v>
      </c>
      <c r="F732" s="4">
        <v>22196</v>
      </c>
      <c r="G732" s="4">
        <v>199764</v>
      </c>
      <c r="H732" s="4">
        <v>122564</v>
      </c>
      <c r="I732" s="4"/>
      <c r="J732" s="4"/>
      <c r="K732" s="4"/>
      <c r="L732" s="6">
        <f t="shared" si="11"/>
        <v>1.6298750040795</v>
      </c>
      <c r="M732" s="4"/>
    </row>
    <row r="733" spans="1:13">
      <c r="A733" s="3">
        <v>45687</v>
      </c>
      <c r="B733" s="4" t="s">
        <v>8</v>
      </c>
      <c r="C733" s="4" t="s">
        <v>22</v>
      </c>
      <c r="D733" s="4" t="s">
        <v>30</v>
      </c>
      <c r="E733" s="4">
        <v>9</v>
      </c>
      <c r="F733" s="4">
        <v>23481</v>
      </c>
      <c r="G733" s="4">
        <v>211329</v>
      </c>
      <c r="H733" s="4">
        <v>197792</v>
      </c>
      <c r="I733" s="4"/>
      <c r="J733" s="4"/>
      <c r="K733" s="4"/>
      <c r="L733" s="6">
        <f t="shared" si="11"/>
        <v>1.06844058404789</v>
      </c>
      <c r="M733" s="4"/>
    </row>
    <row r="734" spans="1:13">
      <c r="A734" s="3">
        <v>45690</v>
      </c>
      <c r="B734" s="4" t="s">
        <v>5</v>
      </c>
      <c r="C734" s="4" t="s">
        <v>22</v>
      </c>
      <c r="D734" s="4" t="s">
        <v>30</v>
      </c>
      <c r="E734" s="4">
        <v>5</v>
      </c>
      <c r="F734" s="4">
        <v>15450</v>
      </c>
      <c r="G734" s="4">
        <v>77250</v>
      </c>
      <c r="H734" s="4">
        <v>27800</v>
      </c>
      <c r="I734" s="4"/>
      <c r="J734" s="4"/>
      <c r="K734" s="4"/>
      <c r="L734" s="6">
        <f t="shared" si="11"/>
        <v>2.77877697841727</v>
      </c>
      <c r="M734" s="4"/>
    </row>
    <row r="735" spans="1:13">
      <c r="A735" s="3">
        <v>45751</v>
      </c>
      <c r="B735" s="4" t="s">
        <v>5</v>
      </c>
      <c r="C735" s="4" t="s">
        <v>28</v>
      </c>
      <c r="D735" s="4" t="s">
        <v>30</v>
      </c>
      <c r="E735" s="4">
        <v>3</v>
      </c>
      <c r="F735" s="4">
        <v>7064</v>
      </c>
      <c r="G735" s="4">
        <v>21192</v>
      </c>
      <c r="H735" s="4">
        <v>189033</v>
      </c>
      <c r="I735" s="4"/>
      <c r="J735" s="4"/>
      <c r="K735" s="4"/>
      <c r="L735" s="6">
        <f t="shared" si="11"/>
        <v>0.112107409817333</v>
      </c>
      <c r="M735" s="4"/>
    </row>
    <row r="736" spans="1:13">
      <c r="A736" s="3">
        <v>45705</v>
      </c>
      <c r="B736" s="4" t="s">
        <v>2</v>
      </c>
      <c r="C736" s="4" t="s">
        <v>24</v>
      </c>
      <c r="D736" s="4" t="s">
        <v>23</v>
      </c>
      <c r="E736" s="4">
        <v>4</v>
      </c>
      <c r="F736" s="4">
        <v>3385</v>
      </c>
      <c r="G736" s="4">
        <v>13540</v>
      </c>
      <c r="H736" s="4">
        <v>197463</v>
      </c>
      <c r="I736" s="4"/>
      <c r="J736" s="4"/>
      <c r="K736" s="4"/>
      <c r="L736" s="6">
        <f t="shared" si="11"/>
        <v>0.068569808014666</v>
      </c>
      <c r="M736" s="4"/>
    </row>
    <row r="737" spans="1:13">
      <c r="A737" s="3">
        <v>45736</v>
      </c>
      <c r="B737" s="4" t="s">
        <v>2</v>
      </c>
      <c r="C737" s="4" t="s">
        <v>22</v>
      </c>
      <c r="D737" s="4" t="s">
        <v>29</v>
      </c>
      <c r="E737" s="4">
        <v>9</v>
      </c>
      <c r="F737" s="4">
        <v>7593</v>
      </c>
      <c r="G737" s="4">
        <v>68337</v>
      </c>
      <c r="H737" s="4">
        <v>182759</v>
      </c>
      <c r="I737" s="4"/>
      <c r="J737" s="4"/>
      <c r="K737" s="4"/>
      <c r="L737" s="6">
        <f t="shared" si="11"/>
        <v>0.373918657904672</v>
      </c>
      <c r="M737" s="4"/>
    </row>
    <row r="738" spans="1:13">
      <c r="A738" s="3">
        <v>45713</v>
      </c>
      <c r="B738" s="4" t="s">
        <v>5</v>
      </c>
      <c r="C738" s="4" t="s">
        <v>26</v>
      </c>
      <c r="D738" s="4" t="s">
        <v>33</v>
      </c>
      <c r="E738" s="4">
        <v>1</v>
      </c>
      <c r="F738" s="4">
        <v>25982</v>
      </c>
      <c r="G738" s="4">
        <v>25982</v>
      </c>
      <c r="H738" s="4">
        <v>187857</v>
      </c>
      <c r="I738" s="4"/>
      <c r="J738" s="4"/>
      <c r="K738" s="4"/>
      <c r="L738" s="6">
        <f t="shared" si="11"/>
        <v>0.138307329511277</v>
      </c>
      <c r="M738" s="4"/>
    </row>
    <row r="739" spans="1:13">
      <c r="A739" s="3">
        <v>45826</v>
      </c>
      <c r="B739" s="4" t="s">
        <v>8</v>
      </c>
      <c r="C739" s="4" t="s">
        <v>28</v>
      </c>
      <c r="D739" s="4" t="s">
        <v>29</v>
      </c>
      <c r="E739" s="4">
        <v>8</v>
      </c>
      <c r="F739" s="4">
        <v>47947</v>
      </c>
      <c r="G739" s="4">
        <v>383576</v>
      </c>
      <c r="H739" s="4">
        <v>105646</v>
      </c>
      <c r="I739" s="4"/>
      <c r="J739" s="4"/>
      <c r="K739" s="4"/>
      <c r="L739" s="6">
        <f t="shared" si="11"/>
        <v>3.63076690078186</v>
      </c>
      <c r="M739" s="4"/>
    </row>
    <row r="740" spans="1:13">
      <c r="A740" s="3">
        <v>45710</v>
      </c>
      <c r="B740" s="4" t="s">
        <v>7</v>
      </c>
      <c r="C740" s="4" t="s">
        <v>26</v>
      </c>
      <c r="D740" s="4" t="s">
        <v>30</v>
      </c>
      <c r="E740" s="4">
        <v>8</v>
      </c>
      <c r="F740" s="4">
        <v>14986</v>
      </c>
      <c r="G740" s="4">
        <v>119888</v>
      </c>
      <c r="H740" s="4">
        <v>109197</v>
      </c>
      <c r="I740" s="4"/>
      <c r="J740" s="4"/>
      <c r="K740" s="4"/>
      <c r="L740" s="6">
        <f t="shared" si="11"/>
        <v>1.09790562011777</v>
      </c>
      <c r="M740" s="4"/>
    </row>
    <row r="741" spans="1:13">
      <c r="A741" s="3">
        <v>45703</v>
      </c>
      <c r="B741" s="4" t="s">
        <v>6</v>
      </c>
      <c r="C741" s="4" t="s">
        <v>28</v>
      </c>
      <c r="D741" s="4" t="s">
        <v>30</v>
      </c>
      <c r="E741" s="4">
        <v>4</v>
      </c>
      <c r="F741" s="4">
        <v>46062</v>
      </c>
      <c r="G741" s="4">
        <v>184248</v>
      </c>
      <c r="H741" s="4">
        <v>140943</v>
      </c>
      <c r="I741" s="4"/>
      <c r="J741" s="4"/>
      <c r="K741" s="4"/>
      <c r="L741" s="6">
        <f t="shared" si="11"/>
        <v>1.30725186777634</v>
      </c>
      <c r="M741" s="4"/>
    </row>
    <row r="742" spans="1:13">
      <c r="A742" s="3">
        <v>45728</v>
      </c>
      <c r="B742" s="4" t="s">
        <v>7</v>
      </c>
      <c r="C742" s="4" t="s">
        <v>26</v>
      </c>
      <c r="D742" s="4" t="s">
        <v>31</v>
      </c>
      <c r="E742" s="4">
        <v>4</v>
      </c>
      <c r="F742" s="4">
        <v>49313</v>
      </c>
      <c r="G742" s="4">
        <v>197252</v>
      </c>
      <c r="H742" s="4">
        <v>106341</v>
      </c>
      <c r="I742" s="4"/>
      <c r="J742" s="4"/>
      <c r="K742" s="4"/>
      <c r="L742" s="6">
        <f t="shared" si="11"/>
        <v>1.85490074383352</v>
      </c>
      <c r="M742" s="4"/>
    </row>
    <row r="743" spans="1:13">
      <c r="A743" s="3">
        <v>45727</v>
      </c>
      <c r="B743" s="4" t="s">
        <v>5</v>
      </c>
      <c r="C743" s="4" t="s">
        <v>26</v>
      </c>
      <c r="D743" s="4" t="s">
        <v>30</v>
      </c>
      <c r="E743" s="4">
        <v>7</v>
      </c>
      <c r="F743" s="4">
        <v>15671</v>
      </c>
      <c r="G743" s="4">
        <v>109697</v>
      </c>
      <c r="H743" s="4">
        <v>65195</v>
      </c>
      <c r="I743" s="4"/>
      <c r="J743" s="4"/>
      <c r="K743" s="4"/>
      <c r="L743" s="6">
        <f t="shared" si="11"/>
        <v>1.68259835876984</v>
      </c>
      <c r="M743" s="4"/>
    </row>
    <row r="744" spans="1:13">
      <c r="A744" s="3">
        <v>45777</v>
      </c>
      <c r="B744" s="4" t="s">
        <v>2</v>
      </c>
      <c r="C744" s="4" t="s">
        <v>22</v>
      </c>
      <c r="D744" s="4" t="s">
        <v>32</v>
      </c>
      <c r="E744" s="4">
        <v>1</v>
      </c>
      <c r="F744" s="4">
        <v>7018</v>
      </c>
      <c r="G744" s="4">
        <v>7018</v>
      </c>
      <c r="H744" s="4">
        <v>96308</v>
      </c>
      <c r="I744" s="4"/>
      <c r="J744" s="4"/>
      <c r="K744" s="4"/>
      <c r="L744" s="6">
        <f t="shared" si="11"/>
        <v>0.0728703742160568</v>
      </c>
      <c r="M744" s="4"/>
    </row>
    <row r="745" spans="1:13">
      <c r="A745" s="3">
        <v>45722</v>
      </c>
      <c r="B745" s="4" t="s">
        <v>2</v>
      </c>
      <c r="C745" s="4" t="s">
        <v>26</v>
      </c>
      <c r="D745" s="4" t="s">
        <v>25</v>
      </c>
      <c r="E745" s="4">
        <v>10</v>
      </c>
      <c r="F745" s="4">
        <v>47807</v>
      </c>
      <c r="G745" s="4">
        <v>478070</v>
      </c>
      <c r="H745" s="4">
        <v>90239</v>
      </c>
      <c r="I745" s="4"/>
      <c r="J745" s="4"/>
      <c r="K745" s="4"/>
      <c r="L745" s="6">
        <f t="shared" si="11"/>
        <v>5.29782023293698</v>
      </c>
      <c r="M745" s="4"/>
    </row>
    <row r="746" spans="1:13">
      <c r="A746" s="3">
        <v>45773</v>
      </c>
      <c r="B746" s="4" t="s">
        <v>3</v>
      </c>
      <c r="C746" s="4" t="s">
        <v>26</v>
      </c>
      <c r="D746" s="4" t="s">
        <v>32</v>
      </c>
      <c r="E746" s="4">
        <v>5</v>
      </c>
      <c r="F746" s="4">
        <v>20639</v>
      </c>
      <c r="G746" s="4">
        <v>103195</v>
      </c>
      <c r="H746" s="4">
        <v>183209</v>
      </c>
      <c r="I746" s="4"/>
      <c r="J746" s="4"/>
      <c r="K746" s="4"/>
      <c r="L746" s="6">
        <f t="shared" si="11"/>
        <v>0.563263813458946</v>
      </c>
      <c r="M746" s="4"/>
    </row>
    <row r="747" spans="1:13">
      <c r="A747" s="3">
        <v>45803</v>
      </c>
      <c r="B747" s="4" t="s">
        <v>7</v>
      </c>
      <c r="C747" s="4" t="s">
        <v>22</v>
      </c>
      <c r="D747" s="4" t="s">
        <v>31</v>
      </c>
      <c r="E747" s="4">
        <v>6</v>
      </c>
      <c r="F747" s="4">
        <v>17002</v>
      </c>
      <c r="G747" s="4">
        <v>102012</v>
      </c>
      <c r="H747" s="4">
        <v>147420</v>
      </c>
      <c r="I747" s="4"/>
      <c r="J747" s="4"/>
      <c r="K747" s="4"/>
      <c r="L747" s="6">
        <f t="shared" si="11"/>
        <v>0.691982091982092</v>
      </c>
      <c r="M747" s="4"/>
    </row>
    <row r="748" spans="1:13">
      <c r="A748" s="3">
        <v>45798</v>
      </c>
      <c r="B748" s="4" t="s">
        <v>5</v>
      </c>
      <c r="C748" s="4" t="s">
        <v>28</v>
      </c>
      <c r="D748" s="4" t="s">
        <v>31</v>
      </c>
      <c r="E748" s="4">
        <v>4</v>
      </c>
      <c r="F748" s="4">
        <v>46359</v>
      </c>
      <c r="G748" s="4">
        <v>185436</v>
      </c>
      <c r="H748" s="4">
        <v>16138</v>
      </c>
      <c r="I748" s="4"/>
      <c r="J748" s="4"/>
      <c r="K748" s="4"/>
      <c r="L748" s="6">
        <f t="shared" si="11"/>
        <v>11.4906432023795</v>
      </c>
      <c r="M748" s="4"/>
    </row>
    <row r="749" spans="1:13">
      <c r="A749" s="3">
        <v>45806</v>
      </c>
      <c r="B749" s="4" t="s">
        <v>2</v>
      </c>
      <c r="C749" s="4" t="s">
        <v>22</v>
      </c>
      <c r="D749" s="4" t="s">
        <v>32</v>
      </c>
      <c r="E749" s="4">
        <v>4</v>
      </c>
      <c r="F749" s="4">
        <v>39750</v>
      </c>
      <c r="G749" s="4">
        <v>159000</v>
      </c>
      <c r="H749" s="4">
        <v>91167</v>
      </c>
      <c r="I749" s="4"/>
      <c r="J749" s="4"/>
      <c r="K749" s="4"/>
      <c r="L749" s="6">
        <f t="shared" si="11"/>
        <v>1.74405212412386</v>
      </c>
      <c r="M749" s="4"/>
    </row>
    <row r="750" spans="1:13">
      <c r="A750" s="3">
        <v>45668</v>
      </c>
      <c r="B750" s="4" t="s">
        <v>7</v>
      </c>
      <c r="C750" s="4" t="s">
        <v>26</v>
      </c>
      <c r="D750" s="4" t="s">
        <v>30</v>
      </c>
      <c r="E750" s="4">
        <v>10</v>
      </c>
      <c r="F750" s="4">
        <v>44355</v>
      </c>
      <c r="G750" s="4">
        <v>443550</v>
      </c>
      <c r="H750" s="4">
        <v>90256</v>
      </c>
      <c r="I750" s="4"/>
      <c r="J750" s="4"/>
      <c r="K750" s="4"/>
      <c r="L750" s="6">
        <f t="shared" si="11"/>
        <v>4.91435472433966</v>
      </c>
      <c r="M750" s="4"/>
    </row>
    <row r="751" spans="1:13">
      <c r="A751" s="3">
        <v>45708</v>
      </c>
      <c r="B751" s="4" t="s">
        <v>3</v>
      </c>
      <c r="C751" s="4" t="s">
        <v>24</v>
      </c>
      <c r="D751" s="4" t="s">
        <v>33</v>
      </c>
      <c r="E751" s="4">
        <v>6</v>
      </c>
      <c r="F751" s="4">
        <v>17393</v>
      </c>
      <c r="G751" s="4">
        <v>104358</v>
      </c>
      <c r="H751" s="4">
        <v>36443</v>
      </c>
      <c r="I751" s="4"/>
      <c r="J751" s="4"/>
      <c r="K751" s="4"/>
      <c r="L751" s="6">
        <f t="shared" si="11"/>
        <v>2.86359520346843</v>
      </c>
      <c r="M751" s="4"/>
    </row>
    <row r="752" spans="1:13">
      <c r="A752" s="3">
        <v>45773</v>
      </c>
      <c r="B752" s="4" t="s">
        <v>7</v>
      </c>
      <c r="C752" s="4" t="s">
        <v>22</v>
      </c>
      <c r="D752" s="4" t="s">
        <v>32</v>
      </c>
      <c r="E752" s="4">
        <v>3</v>
      </c>
      <c r="F752" s="4">
        <v>28011</v>
      </c>
      <c r="G752" s="4">
        <v>84033</v>
      </c>
      <c r="H752" s="4">
        <v>137980</v>
      </c>
      <c r="I752" s="4"/>
      <c r="J752" s="4"/>
      <c r="K752" s="4"/>
      <c r="L752" s="6">
        <f t="shared" si="11"/>
        <v>0.609023046818379</v>
      </c>
      <c r="M752" s="4"/>
    </row>
    <row r="753" spans="1:13">
      <c r="A753" s="3">
        <v>45736</v>
      </c>
      <c r="B753" s="4" t="s">
        <v>3</v>
      </c>
      <c r="C753" s="4" t="s">
        <v>24</v>
      </c>
      <c r="D753" s="4" t="s">
        <v>29</v>
      </c>
      <c r="E753" s="4">
        <v>2</v>
      </c>
      <c r="F753" s="4">
        <v>34086</v>
      </c>
      <c r="G753" s="4">
        <v>68172</v>
      </c>
      <c r="H753" s="4">
        <v>110567</v>
      </c>
      <c r="I753" s="4"/>
      <c r="J753" s="4"/>
      <c r="K753" s="4"/>
      <c r="L753" s="6">
        <f t="shared" si="11"/>
        <v>0.616567330216068</v>
      </c>
      <c r="M753" s="4"/>
    </row>
    <row r="754" spans="1:13">
      <c r="A754" s="3">
        <v>45807</v>
      </c>
      <c r="B754" s="4" t="s">
        <v>5</v>
      </c>
      <c r="C754" s="4" t="s">
        <v>22</v>
      </c>
      <c r="D754" s="4" t="s">
        <v>25</v>
      </c>
      <c r="E754" s="4">
        <v>6</v>
      </c>
      <c r="F754" s="4">
        <v>42050</v>
      </c>
      <c r="G754" s="4">
        <v>252300</v>
      </c>
      <c r="H754" s="4">
        <v>139454</v>
      </c>
      <c r="I754" s="4"/>
      <c r="J754" s="4"/>
      <c r="K754" s="4"/>
      <c r="L754" s="6">
        <f t="shared" si="11"/>
        <v>1.80919873219843</v>
      </c>
      <c r="M754" s="4"/>
    </row>
    <row r="755" spans="1:13">
      <c r="A755" s="3">
        <v>45693</v>
      </c>
      <c r="B755" s="4" t="s">
        <v>8</v>
      </c>
      <c r="C755" s="4" t="s">
        <v>28</v>
      </c>
      <c r="D755" s="4" t="s">
        <v>27</v>
      </c>
      <c r="E755" s="4">
        <v>7</v>
      </c>
      <c r="F755" s="4">
        <v>4729</v>
      </c>
      <c r="G755" s="4">
        <v>33103</v>
      </c>
      <c r="H755" s="4">
        <v>81027</v>
      </c>
      <c r="I755" s="4"/>
      <c r="J755" s="4"/>
      <c r="K755" s="4"/>
      <c r="L755" s="6">
        <f t="shared" si="11"/>
        <v>0.408542831401878</v>
      </c>
      <c r="M755" s="4"/>
    </row>
    <row r="756" spans="1:13">
      <c r="A756" s="3">
        <v>45748</v>
      </c>
      <c r="B756" s="4" t="s">
        <v>5</v>
      </c>
      <c r="C756" s="4" t="s">
        <v>26</v>
      </c>
      <c r="D756" s="4" t="s">
        <v>32</v>
      </c>
      <c r="E756" s="4">
        <v>7</v>
      </c>
      <c r="F756" s="4">
        <v>27906</v>
      </c>
      <c r="G756" s="4">
        <v>195342</v>
      </c>
      <c r="H756" s="4">
        <v>48211</v>
      </c>
      <c r="I756" s="4"/>
      <c r="J756" s="4"/>
      <c r="K756" s="4"/>
      <c r="L756" s="6">
        <f t="shared" si="11"/>
        <v>4.0518139013918</v>
      </c>
      <c r="M756" s="4"/>
    </row>
    <row r="757" spans="1:13">
      <c r="A757" s="3">
        <v>45693</v>
      </c>
      <c r="B757" s="4" t="s">
        <v>3</v>
      </c>
      <c r="C757" s="4" t="s">
        <v>26</v>
      </c>
      <c r="D757" s="4" t="s">
        <v>30</v>
      </c>
      <c r="E757" s="4">
        <v>8</v>
      </c>
      <c r="F757" s="4">
        <v>6670</v>
      </c>
      <c r="G757" s="4">
        <v>53360</v>
      </c>
      <c r="H757" s="4">
        <v>92515</v>
      </c>
      <c r="I757" s="4"/>
      <c r="J757" s="4"/>
      <c r="K757" s="4"/>
      <c r="L757" s="6">
        <f t="shared" si="11"/>
        <v>0.576771334378209</v>
      </c>
      <c r="M757" s="4"/>
    </row>
    <row r="758" spans="1:13">
      <c r="A758" s="3">
        <v>45689</v>
      </c>
      <c r="B758" s="4" t="s">
        <v>8</v>
      </c>
      <c r="C758" s="4" t="s">
        <v>24</v>
      </c>
      <c r="D758" s="4" t="s">
        <v>32</v>
      </c>
      <c r="E758" s="4">
        <v>6</v>
      </c>
      <c r="F758" s="4">
        <v>7697</v>
      </c>
      <c r="G758" s="4">
        <v>46182</v>
      </c>
      <c r="H758" s="4">
        <v>192714</v>
      </c>
      <c r="I758" s="4"/>
      <c r="J758" s="4"/>
      <c r="K758" s="4"/>
      <c r="L758" s="6">
        <f t="shared" si="11"/>
        <v>0.239640088421184</v>
      </c>
      <c r="M758" s="4"/>
    </row>
    <row r="759" spans="1:13">
      <c r="A759" s="3">
        <v>45757</v>
      </c>
      <c r="B759" s="4" t="s">
        <v>8</v>
      </c>
      <c r="C759" s="4" t="s">
        <v>24</v>
      </c>
      <c r="D759" s="4" t="s">
        <v>32</v>
      </c>
      <c r="E759" s="4">
        <v>3</v>
      </c>
      <c r="F759" s="4">
        <v>43537</v>
      </c>
      <c r="G759" s="4">
        <v>130611</v>
      </c>
      <c r="H759" s="4">
        <v>175211</v>
      </c>
      <c r="I759" s="4"/>
      <c r="J759" s="4"/>
      <c r="K759" s="4"/>
      <c r="L759" s="6">
        <f t="shared" si="11"/>
        <v>0.745449771989202</v>
      </c>
      <c r="M759" s="4"/>
    </row>
    <row r="760" spans="1:13">
      <c r="A760" s="3">
        <v>45731</v>
      </c>
      <c r="B760" s="4" t="s">
        <v>6</v>
      </c>
      <c r="C760" s="4" t="s">
        <v>26</v>
      </c>
      <c r="D760" s="4" t="s">
        <v>27</v>
      </c>
      <c r="E760" s="4">
        <v>1</v>
      </c>
      <c r="F760" s="4">
        <v>31478</v>
      </c>
      <c r="G760" s="4">
        <v>31478</v>
      </c>
      <c r="H760" s="4">
        <v>186275</v>
      </c>
      <c r="I760" s="4"/>
      <c r="J760" s="4"/>
      <c r="K760" s="4"/>
      <c r="L760" s="6">
        <f t="shared" si="11"/>
        <v>0.16898671319286</v>
      </c>
      <c r="M760" s="4"/>
    </row>
    <row r="761" spans="1:13">
      <c r="A761" s="3">
        <v>45729</v>
      </c>
      <c r="B761" s="4" t="s">
        <v>7</v>
      </c>
      <c r="C761" s="4" t="s">
        <v>26</v>
      </c>
      <c r="D761" s="4" t="s">
        <v>30</v>
      </c>
      <c r="E761" s="4">
        <v>4</v>
      </c>
      <c r="F761" s="4">
        <v>45735</v>
      </c>
      <c r="G761" s="4">
        <v>182940</v>
      </c>
      <c r="H761" s="4">
        <v>143411</v>
      </c>
      <c r="I761" s="4"/>
      <c r="J761" s="4"/>
      <c r="K761" s="4"/>
      <c r="L761" s="6">
        <f t="shared" si="11"/>
        <v>1.27563436556471</v>
      </c>
      <c r="M761" s="4"/>
    </row>
    <row r="762" spans="1:13">
      <c r="A762" s="3">
        <v>45828</v>
      </c>
      <c r="B762" s="4" t="s">
        <v>7</v>
      </c>
      <c r="C762" s="4" t="s">
        <v>28</v>
      </c>
      <c r="D762" s="4" t="s">
        <v>32</v>
      </c>
      <c r="E762" s="4">
        <v>2</v>
      </c>
      <c r="F762" s="4">
        <v>20882</v>
      </c>
      <c r="G762" s="4">
        <v>41764</v>
      </c>
      <c r="H762" s="4">
        <v>195185</v>
      </c>
      <c r="I762" s="4"/>
      <c r="J762" s="4"/>
      <c r="K762" s="4"/>
      <c r="L762" s="6">
        <f t="shared" si="11"/>
        <v>0.213971360504137</v>
      </c>
      <c r="M762" s="4"/>
    </row>
    <row r="763" spans="1:13">
      <c r="A763" s="3">
        <v>45675</v>
      </c>
      <c r="B763" s="4" t="s">
        <v>4</v>
      </c>
      <c r="C763" s="4" t="s">
        <v>22</v>
      </c>
      <c r="D763" s="4" t="s">
        <v>25</v>
      </c>
      <c r="E763" s="4">
        <v>1</v>
      </c>
      <c r="F763" s="4">
        <v>8983</v>
      </c>
      <c r="G763" s="4">
        <v>8983</v>
      </c>
      <c r="H763" s="4">
        <v>83684</v>
      </c>
      <c r="I763" s="4"/>
      <c r="J763" s="4"/>
      <c r="K763" s="4"/>
      <c r="L763" s="6">
        <f t="shared" si="11"/>
        <v>0.107344295205774</v>
      </c>
      <c r="M763" s="4"/>
    </row>
    <row r="764" spans="1:13">
      <c r="A764" s="3">
        <v>45733</v>
      </c>
      <c r="B764" s="4" t="s">
        <v>4</v>
      </c>
      <c r="C764" s="4" t="s">
        <v>28</v>
      </c>
      <c r="D764" s="4" t="s">
        <v>31</v>
      </c>
      <c r="E764" s="4">
        <v>4</v>
      </c>
      <c r="F764" s="4">
        <v>15528</v>
      </c>
      <c r="G764" s="4">
        <v>62112</v>
      </c>
      <c r="H764" s="4">
        <v>28257</v>
      </c>
      <c r="I764" s="4"/>
      <c r="J764" s="4"/>
      <c r="K764" s="4"/>
      <c r="L764" s="6">
        <f t="shared" si="11"/>
        <v>2.19811020278161</v>
      </c>
      <c r="M764" s="4"/>
    </row>
    <row r="765" spans="1:13">
      <c r="A765" s="3">
        <v>45752</v>
      </c>
      <c r="B765" s="4" t="s">
        <v>2</v>
      </c>
      <c r="C765" s="4" t="s">
        <v>28</v>
      </c>
      <c r="D765" s="4" t="s">
        <v>31</v>
      </c>
      <c r="E765" s="4">
        <v>3</v>
      </c>
      <c r="F765" s="4">
        <v>38927</v>
      </c>
      <c r="G765" s="4">
        <v>116781</v>
      </c>
      <c r="H765" s="4">
        <v>11823</v>
      </c>
      <c r="I765" s="4"/>
      <c r="J765" s="4"/>
      <c r="K765" s="4"/>
      <c r="L765" s="6">
        <f t="shared" si="11"/>
        <v>9.87744227353464</v>
      </c>
      <c r="M765" s="4"/>
    </row>
    <row r="766" spans="1:13">
      <c r="A766" s="3">
        <v>45778</v>
      </c>
      <c r="B766" s="4" t="s">
        <v>4</v>
      </c>
      <c r="C766" s="4" t="s">
        <v>24</v>
      </c>
      <c r="D766" s="4" t="s">
        <v>25</v>
      </c>
      <c r="E766" s="4">
        <v>3</v>
      </c>
      <c r="F766" s="4">
        <v>18415</v>
      </c>
      <c r="G766" s="4">
        <v>55245</v>
      </c>
      <c r="H766" s="4">
        <v>150229</v>
      </c>
      <c r="I766" s="4"/>
      <c r="J766" s="4"/>
      <c r="K766" s="4"/>
      <c r="L766" s="6">
        <f t="shared" si="11"/>
        <v>0.367738585759074</v>
      </c>
      <c r="M766" s="4"/>
    </row>
    <row r="767" spans="1:13">
      <c r="A767" s="3">
        <v>45710</v>
      </c>
      <c r="B767" s="4" t="s">
        <v>3</v>
      </c>
      <c r="C767" s="4" t="s">
        <v>28</v>
      </c>
      <c r="D767" s="4" t="s">
        <v>29</v>
      </c>
      <c r="E767" s="4">
        <v>2</v>
      </c>
      <c r="F767" s="4">
        <v>46153</v>
      </c>
      <c r="G767" s="4">
        <v>92306</v>
      </c>
      <c r="H767" s="4">
        <v>143596</v>
      </c>
      <c r="I767" s="4"/>
      <c r="J767" s="4"/>
      <c r="K767" s="4"/>
      <c r="L767" s="6">
        <f t="shared" si="11"/>
        <v>0.642817348672665</v>
      </c>
      <c r="M767" s="4"/>
    </row>
    <row r="768" spans="1:13">
      <c r="A768" s="3">
        <v>45746</v>
      </c>
      <c r="B768" s="4" t="s">
        <v>7</v>
      </c>
      <c r="C768" s="4" t="s">
        <v>22</v>
      </c>
      <c r="D768" s="4" t="s">
        <v>23</v>
      </c>
      <c r="E768" s="4">
        <v>3</v>
      </c>
      <c r="F768" s="4">
        <v>11227</v>
      </c>
      <c r="G768" s="4">
        <v>33681</v>
      </c>
      <c r="H768" s="4">
        <v>40004</v>
      </c>
      <c r="I768" s="4"/>
      <c r="J768" s="4"/>
      <c r="K768" s="4"/>
      <c r="L768" s="6">
        <f t="shared" si="11"/>
        <v>0.841940805919408</v>
      </c>
      <c r="M768" s="4"/>
    </row>
    <row r="769" spans="1:13">
      <c r="A769" s="3">
        <v>45835</v>
      </c>
      <c r="B769" s="4" t="s">
        <v>2</v>
      </c>
      <c r="C769" s="4" t="s">
        <v>22</v>
      </c>
      <c r="D769" s="4" t="s">
        <v>29</v>
      </c>
      <c r="E769" s="4">
        <v>5</v>
      </c>
      <c r="F769" s="4">
        <v>35065</v>
      </c>
      <c r="G769" s="4">
        <v>175325</v>
      </c>
      <c r="H769" s="4">
        <v>84597</v>
      </c>
      <c r="I769" s="4"/>
      <c r="J769" s="4"/>
      <c r="K769" s="4"/>
      <c r="L769" s="6">
        <f t="shared" si="11"/>
        <v>2.07247301913779</v>
      </c>
      <c r="M769" s="4"/>
    </row>
    <row r="770" spans="1:13">
      <c r="A770" s="3">
        <v>45805</v>
      </c>
      <c r="B770" s="4" t="s">
        <v>5</v>
      </c>
      <c r="C770" s="4" t="s">
        <v>28</v>
      </c>
      <c r="D770" s="4" t="s">
        <v>31</v>
      </c>
      <c r="E770" s="4">
        <v>9</v>
      </c>
      <c r="F770" s="4">
        <v>25728</v>
      </c>
      <c r="G770" s="4">
        <v>231552</v>
      </c>
      <c r="H770" s="4">
        <v>107570</v>
      </c>
      <c r="I770" s="4"/>
      <c r="J770" s="4"/>
      <c r="K770" s="4"/>
      <c r="L770" s="6">
        <f t="shared" si="11"/>
        <v>2.15257041926188</v>
      </c>
      <c r="M770" s="4"/>
    </row>
    <row r="771" spans="1:13">
      <c r="A771" s="3">
        <v>45688</v>
      </c>
      <c r="B771" s="4" t="s">
        <v>5</v>
      </c>
      <c r="C771" s="4" t="s">
        <v>24</v>
      </c>
      <c r="D771" s="4" t="s">
        <v>27</v>
      </c>
      <c r="E771" s="4">
        <v>10</v>
      </c>
      <c r="F771" s="4">
        <v>15388</v>
      </c>
      <c r="G771" s="4">
        <v>153880</v>
      </c>
      <c r="H771" s="4">
        <v>98723</v>
      </c>
      <c r="I771" s="4"/>
      <c r="J771" s="4"/>
      <c r="K771" s="4"/>
      <c r="L771" s="6">
        <f t="shared" ref="L771:L834" si="12">G771/H771</f>
        <v>1.5587046584889</v>
      </c>
      <c r="M771" s="4"/>
    </row>
    <row r="772" spans="1:13">
      <c r="A772" s="3">
        <v>45759</v>
      </c>
      <c r="B772" s="4" t="s">
        <v>2</v>
      </c>
      <c r="C772" s="4" t="s">
        <v>22</v>
      </c>
      <c r="D772" s="4" t="s">
        <v>27</v>
      </c>
      <c r="E772" s="4">
        <v>6</v>
      </c>
      <c r="F772" s="4">
        <v>1746</v>
      </c>
      <c r="G772" s="4">
        <v>10476</v>
      </c>
      <c r="H772" s="4">
        <v>185599</v>
      </c>
      <c r="I772" s="4"/>
      <c r="J772" s="4"/>
      <c r="K772" s="4"/>
      <c r="L772" s="6">
        <f t="shared" si="12"/>
        <v>0.0564442696350735</v>
      </c>
      <c r="M772" s="4"/>
    </row>
    <row r="773" spans="1:13">
      <c r="A773" s="3">
        <v>45720</v>
      </c>
      <c r="B773" s="4" t="s">
        <v>2</v>
      </c>
      <c r="C773" s="4" t="s">
        <v>24</v>
      </c>
      <c r="D773" s="4" t="s">
        <v>23</v>
      </c>
      <c r="E773" s="4">
        <v>7</v>
      </c>
      <c r="F773" s="4">
        <v>21932</v>
      </c>
      <c r="G773" s="4">
        <v>153524</v>
      </c>
      <c r="H773" s="4">
        <v>57305</v>
      </c>
      <c r="I773" s="4"/>
      <c r="J773" s="4"/>
      <c r="K773" s="4"/>
      <c r="L773" s="6">
        <f t="shared" si="12"/>
        <v>2.679068144141</v>
      </c>
      <c r="M773" s="4"/>
    </row>
    <row r="774" spans="1:13">
      <c r="A774" s="3">
        <v>45666</v>
      </c>
      <c r="B774" s="4" t="s">
        <v>4</v>
      </c>
      <c r="C774" s="4" t="s">
        <v>22</v>
      </c>
      <c r="D774" s="4" t="s">
        <v>23</v>
      </c>
      <c r="E774" s="4">
        <v>5</v>
      </c>
      <c r="F774" s="4">
        <v>4776</v>
      </c>
      <c r="G774" s="4">
        <v>23880</v>
      </c>
      <c r="H774" s="4">
        <v>169979</v>
      </c>
      <c r="I774" s="4"/>
      <c r="J774" s="4"/>
      <c r="K774" s="4"/>
      <c r="L774" s="6">
        <f t="shared" si="12"/>
        <v>0.140487942628207</v>
      </c>
      <c r="M774" s="4"/>
    </row>
    <row r="775" spans="1:13">
      <c r="A775" s="3">
        <v>45688</v>
      </c>
      <c r="B775" s="4" t="s">
        <v>4</v>
      </c>
      <c r="C775" s="4" t="s">
        <v>26</v>
      </c>
      <c r="D775" s="4" t="s">
        <v>31</v>
      </c>
      <c r="E775" s="4">
        <v>7</v>
      </c>
      <c r="F775" s="4">
        <v>2855</v>
      </c>
      <c r="G775" s="4">
        <v>19985</v>
      </c>
      <c r="H775" s="4">
        <v>167592</v>
      </c>
      <c r="I775" s="4"/>
      <c r="J775" s="4"/>
      <c r="K775" s="4"/>
      <c r="L775" s="6">
        <f t="shared" si="12"/>
        <v>0.119247935462313</v>
      </c>
      <c r="M775" s="4"/>
    </row>
    <row r="776" spans="1:13">
      <c r="A776" s="3">
        <v>45687</v>
      </c>
      <c r="B776" s="4" t="s">
        <v>5</v>
      </c>
      <c r="C776" s="4" t="s">
        <v>24</v>
      </c>
      <c r="D776" s="4" t="s">
        <v>30</v>
      </c>
      <c r="E776" s="4">
        <v>8</v>
      </c>
      <c r="F776" s="4">
        <v>42931</v>
      </c>
      <c r="G776" s="4">
        <v>343448</v>
      </c>
      <c r="H776" s="4">
        <v>2009</v>
      </c>
      <c r="I776" s="4"/>
      <c r="J776" s="4"/>
      <c r="K776" s="4"/>
      <c r="L776" s="6">
        <f t="shared" si="12"/>
        <v>170.954703832753</v>
      </c>
      <c r="M776" s="4"/>
    </row>
    <row r="777" spans="1:13">
      <c r="A777" s="3">
        <v>45761</v>
      </c>
      <c r="B777" s="4" t="s">
        <v>5</v>
      </c>
      <c r="C777" s="4" t="s">
        <v>22</v>
      </c>
      <c r="D777" s="4" t="s">
        <v>23</v>
      </c>
      <c r="E777" s="4">
        <v>5</v>
      </c>
      <c r="F777" s="4">
        <v>32294</v>
      </c>
      <c r="G777" s="4">
        <v>161470</v>
      </c>
      <c r="H777" s="4">
        <v>163066</v>
      </c>
      <c r="I777" s="4"/>
      <c r="J777" s="4"/>
      <c r="K777" s="4"/>
      <c r="L777" s="6">
        <f t="shared" si="12"/>
        <v>0.990212551972821</v>
      </c>
      <c r="M777" s="4"/>
    </row>
    <row r="778" spans="1:13">
      <c r="A778" s="3">
        <v>45677</v>
      </c>
      <c r="B778" s="4" t="s">
        <v>4</v>
      </c>
      <c r="C778" s="4" t="s">
        <v>26</v>
      </c>
      <c r="D778" s="4" t="s">
        <v>33</v>
      </c>
      <c r="E778" s="4">
        <v>5</v>
      </c>
      <c r="F778" s="4">
        <v>16703</v>
      </c>
      <c r="G778" s="4">
        <v>83515</v>
      </c>
      <c r="H778" s="4">
        <v>123138</v>
      </c>
      <c r="I778" s="4"/>
      <c r="J778" s="4"/>
      <c r="K778" s="4"/>
      <c r="L778" s="6">
        <f t="shared" si="12"/>
        <v>0.67822280693206</v>
      </c>
      <c r="M778" s="4"/>
    </row>
    <row r="779" spans="1:13">
      <c r="A779" s="3">
        <v>45722</v>
      </c>
      <c r="B779" s="4" t="s">
        <v>3</v>
      </c>
      <c r="C779" s="4" t="s">
        <v>24</v>
      </c>
      <c r="D779" s="4" t="s">
        <v>29</v>
      </c>
      <c r="E779" s="4">
        <v>10</v>
      </c>
      <c r="F779" s="4">
        <v>48243</v>
      </c>
      <c r="G779" s="4">
        <v>482430</v>
      </c>
      <c r="H779" s="4">
        <v>114627</v>
      </c>
      <c r="I779" s="4"/>
      <c r="J779" s="4"/>
      <c r="K779" s="4"/>
      <c r="L779" s="6">
        <f t="shared" si="12"/>
        <v>4.20869428668638</v>
      </c>
      <c r="M779" s="4"/>
    </row>
    <row r="780" spans="1:13">
      <c r="A780" s="3">
        <v>45774</v>
      </c>
      <c r="B780" s="4" t="s">
        <v>6</v>
      </c>
      <c r="C780" s="4" t="s">
        <v>24</v>
      </c>
      <c r="D780" s="4" t="s">
        <v>25</v>
      </c>
      <c r="E780" s="4">
        <v>9</v>
      </c>
      <c r="F780" s="4">
        <v>2302</v>
      </c>
      <c r="G780" s="4">
        <v>20718</v>
      </c>
      <c r="H780" s="4">
        <v>176124</v>
      </c>
      <c r="I780" s="4"/>
      <c r="J780" s="4"/>
      <c r="K780" s="4"/>
      <c r="L780" s="6">
        <f t="shared" si="12"/>
        <v>0.117633031273421</v>
      </c>
      <c r="M780" s="4"/>
    </row>
    <row r="781" spans="1:13">
      <c r="A781" s="3">
        <v>45831</v>
      </c>
      <c r="B781" s="4" t="s">
        <v>8</v>
      </c>
      <c r="C781" s="4" t="s">
        <v>26</v>
      </c>
      <c r="D781" s="4" t="s">
        <v>27</v>
      </c>
      <c r="E781" s="4">
        <v>2</v>
      </c>
      <c r="F781" s="4">
        <v>7665</v>
      </c>
      <c r="G781" s="4">
        <v>15330</v>
      </c>
      <c r="H781" s="4">
        <v>92536</v>
      </c>
      <c r="I781" s="4"/>
      <c r="J781" s="4"/>
      <c r="K781" s="4"/>
      <c r="L781" s="6">
        <f t="shared" si="12"/>
        <v>0.165665254603614</v>
      </c>
      <c r="M781" s="4"/>
    </row>
    <row r="782" spans="1:13">
      <c r="A782" s="3">
        <v>45812</v>
      </c>
      <c r="B782" s="4" t="s">
        <v>8</v>
      </c>
      <c r="C782" s="4" t="s">
        <v>26</v>
      </c>
      <c r="D782" s="4" t="s">
        <v>29</v>
      </c>
      <c r="E782" s="4">
        <v>7</v>
      </c>
      <c r="F782" s="4">
        <v>21162</v>
      </c>
      <c r="G782" s="4">
        <v>148134</v>
      </c>
      <c r="H782" s="4">
        <v>35563</v>
      </c>
      <c r="I782" s="4"/>
      <c r="J782" s="4"/>
      <c r="K782" s="4"/>
      <c r="L782" s="6">
        <f t="shared" si="12"/>
        <v>4.16539662008267</v>
      </c>
      <c r="M782" s="4"/>
    </row>
    <row r="783" spans="1:13">
      <c r="A783" s="3">
        <v>45806</v>
      </c>
      <c r="B783" s="4" t="s">
        <v>5</v>
      </c>
      <c r="C783" s="4" t="s">
        <v>22</v>
      </c>
      <c r="D783" s="4" t="s">
        <v>25</v>
      </c>
      <c r="E783" s="4">
        <v>1</v>
      </c>
      <c r="F783" s="4">
        <v>46042</v>
      </c>
      <c r="G783" s="4">
        <v>46042</v>
      </c>
      <c r="H783" s="4">
        <v>174657</v>
      </c>
      <c r="I783" s="4"/>
      <c r="J783" s="4"/>
      <c r="K783" s="4"/>
      <c r="L783" s="6">
        <f t="shared" si="12"/>
        <v>0.263613825956017</v>
      </c>
      <c r="M783" s="4"/>
    </row>
    <row r="784" spans="1:13">
      <c r="A784" s="3">
        <v>45666</v>
      </c>
      <c r="B784" s="4" t="s">
        <v>7</v>
      </c>
      <c r="C784" s="4" t="s">
        <v>28</v>
      </c>
      <c r="D784" s="4" t="s">
        <v>27</v>
      </c>
      <c r="E784" s="4">
        <v>10</v>
      </c>
      <c r="F784" s="4">
        <v>10181</v>
      </c>
      <c r="G784" s="4">
        <v>101810</v>
      </c>
      <c r="H784" s="4">
        <v>84316</v>
      </c>
      <c r="I784" s="4"/>
      <c r="J784" s="4"/>
      <c r="K784" s="4"/>
      <c r="L784" s="6">
        <f t="shared" si="12"/>
        <v>1.20748137957209</v>
      </c>
      <c r="M784" s="4"/>
    </row>
    <row r="785" spans="1:13">
      <c r="A785" s="3">
        <v>45759</v>
      </c>
      <c r="B785" s="4" t="s">
        <v>3</v>
      </c>
      <c r="C785" s="4" t="s">
        <v>26</v>
      </c>
      <c r="D785" s="4" t="s">
        <v>29</v>
      </c>
      <c r="E785" s="4">
        <v>4</v>
      </c>
      <c r="F785" s="4">
        <v>12887</v>
      </c>
      <c r="G785" s="4">
        <v>51548</v>
      </c>
      <c r="H785" s="4">
        <v>8414</v>
      </c>
      <c r="I785" s="4"/>
      <c r="J785" s="4"/>
      <c r="K785" s="4"/>
      <c r="L785" s="6">
        <f t="shared" si="12"/>
        <v>6.12645590682196</v>
      </c>
      <c r="M785" s="4"/>
    </row>
    <row r="786" spans="1:13">
      <c r="A786" s="3">
        <v>45754</v>
      </c>
      <c r="B786" s="4" t="s">
        <v>6</v>
      </c>
      <c r="C786" s="4" t="s">
        <v>22</v>
      </c>
      <c r="D786" s="4" t="s">
        <v>29</v>
      </c>
      <c r="E786" s="4">
        <v>5</v>
      </c>
      <c r="F786" s="4">
        <v>18260</v>
      </c>
      <c r="G786" s="4">
        <v>91300</v>
      </c>
      <c r="H786" s="4">
        <v>58552</v>
      </c>
      <c r="I786" s="4"/>
      <c r="J786" s="4"/>
      <c r="K786" s="4"/>
      <c r="L786" s="6">
        <f t="shared" si="12"/>
        <v>1.55929771826752</v>
      </c>
      <c r="M786" s="4"/>
    </row>
    <row r="787" spans="1:13">
      <c r="A787" s="3">
        <v>45699</v>
      </c>
      <c r="B787" s="4" t="s">
        <v>5</v>
      </c>
      <c r="C787" s="4" t="s">
        <v>24</v>
      </c>
      <c r="D787" s="4" t="s">
        <v>23</v>
      </c>
      <c r="E787" s="4">
        <v>1</v>
      </c>
      <c r="F787" s="4">
        <v>37463</v>
      </c>
      <c r="G787" s="4">
        <v>37463</v>
      </c>
      <c r="H787" s="4">
        <v>83437</v>
      </c>
      <c r="I787" s="4"/>
      <c r="J787" s="4"/>
      <c r="K787" s="4"/>
      <c r="L787" s="6">
        <f t="shared" si="12"/>
        <v>0.448997447175713</v>
      </c>
      <c r="M787" s="4"/>
    </row>
    <row r="788" spans="1:13">
      <c r="A788" s="3">
        <v>45775</v>
      </c>
      <c r="B788" s="4" t="s">
        <v>2</v>
      </c>
      <c r="C788" s="4" t="s">
        <v>22</v>
      </c>
      <c r="D788" s="4" t="s">
        <v>31</v>
      </c>
      <c r="E788" s="4">
        <v>7</v>
      </c>
      <c r="F788" s="4">
        <v>37978</v>
      </c>
      <c r="G788" s="4">
        <v>265846</v>
      </c>
      <c r="H788" s="4">
        <v>198073</v>
      </c>
      <c r="I788" s="4"/>
      <c r="J788" s="4"/>
      <c r="K788" s="4"/>
      <c r="L788" s="6">
        <f t="shared" si="12"/>
        <v>1.34216172825171</v>
      </c>
      <c r="M788" s="4"/>
    </row>
    <row r="789" spans="1:13">
      <c r="A789" s="3">
        <v>45791</v>
      </c>
      <c r="B789" s="4" t="s">
        <v>3</v>
      </c>
      <c r="C789" s="4" t="s">
        <v>28</v>
      </c>
      <c r="D789" s="4" t="s">
        <v>27</v>
      </c>
      <c r="E789" s="4">
        <v>3</v>
      </c>
      <c r="F789" s="4">
        <v>34963</v>
      </c>
      <c r="G789" s="4">
        <v>104889</v>
      </c>
      <c r="H789" s="4">
        <v>90977</v>
      </c>
      <c r="I789" s="4"/>
      <c r="J789" s="4"/>
      <c r="K789" s="4"/>
      <c r="L789" s="6">
        <f t="shared" si="12"/>
        <v>1.15291777042549</v>
      </c>
      <c r="M789" s="4"/>
    </row>
    <row r="790" spans="1:13">
      <c r="A790" s="3">
        <v>45793</v>
      </c>
      <c r="B790" s="4" t="s">
        <v>3</v>
      </c>
      <c r="C790" s="4" t="s">
        <v>24</v>
      </c>
      <c r="D790" s="4" t="s">
        <v>25</v>
      </c>
      <c r="E790" s="4">
        <v>9</v>
      </c>
      <c r="F790" s="4">
        <v>6853</v>
      </c>
      <c r="G790" s="4">
        <v>61677</v>
      </c>
      <c r="H790" s="4">
        <v>84819</v>
      </c>
      <c r="I790" s="4"/>
      <c r="J790" s="4"/>
      <c r="K790" s="4"/>
      <c r="L790" s="6">
        <f t="shared" si="12"/>
        <v>0.727160188165388</v>
      </c>
      <c r="M790" s="4"/>
    </row>
    <row r="791" spans="1:13">
      <c r="A791" s="3">
        <v>45835</v>
      </c>
      <c r="B791" s="4" t="s">
        <v>7</v>
      </c>
      <c r="C791" s="4" t="s">
        <v>28</v>
      </c>
      <c r="D791" s="4" t="s">
        <v>32</v>
      </c>
      <c r="E791" s="4">
        <v>4</v>
      </c>
      <c r="F791" s="4">
        <v>35796</v>
      </c>
      <c r="G791" s="4">
        <v>143184</v>
      </c>
      <c r="H791" s="4">
        <v>9194</v>
      </c>
      <c r="I791" s="4"/>
      <c r="J791" s="4"/>
      <c r="K791" s="4"/>
      <c r="L791" s="6">
        <f t="shared" si="12"/>
        <v>15.5736349793343</v>
      </c>
      <c r="M791" s="4"/>
    </row>
    <row r="792" spans="1:13">
      <c r="A792" s="3">
        <v>45820</v>
      </c>
      <c r="B792" s="4" t="s">
        <v>6</v>
      </c>
      <c r="C792" s="4" t="s">
        <v>22</v>
      </c>
      <c r="D792" s="4" t="s">
        <v>27</v>
      </c>
      <c r="E792" s="4">
        <v>7</v>
      </c>
      <c r="F792" s="4">
        <v>19701</v>
      </c>
      <c r="G792" s="4">
        <v>137907</v>
      </c>
      <c r="H792" s="4">
        <v>181418</v>
      </c>
      <c r="I792" s="4"/>
      <c r="J792" s="4"/>
      <c r="K792" s="4"/>
      <c r="L792" s="6">
        <f t="shared" si="12"/>
        <v>0.760161615716191</v>
      </c>
      <c r="M792" s="4"/>
    </row>
    <row r="793" spans="1:13">
      <c r="A793" s="3">
        <v>45822</v>
      </c>
      <c r="B793" s="4" t="s">
        <v>8</v>
      </c>
      <c r="C793" s="4" t="s">
        <v>28</v>
      </c>
      <c r="D793" s="4" t="s">
        <v>32</v>
      </c>
      <c r="E793" s="4">
        <v>2</v>
      </c>
      <c r="F793" s="4">
        <v>40432</v>
      </c>
      <c r="G793" s="4">
        <v>80864</v>
      </c>
      <c r="H793" s="4">
        <v>116914</v>
      </c>
      <c r="I793" s="4"/>
      <c r="J793" s="4"/>
      <c r="K793" s="4"/>
      <c r="L793" s="6">
        <f t="shared" si="12"/>
        <v>0.691653694168363</v>
      </c>
      <c r="M793" s="4"/>
    </row>
    <row r="794" spans="1:13">
      <c r="A794" s="3">
        <v>45778</v>
      </c>
      <c r="B794" s="4" t="s">
        <v>5</v>
      </c>
      <c r="C794" s="4" t="s">
        <v>24</v>
      </c>
      <c r="D794" s="4" t="s">
        <v>23</v>
      </c>
      <c r="E794" s="4">
        <v>10</v>
      </c>
      <c r="F794" s="4">
        <v>8310</v>
      </c>
      <c r="G794" s="4">
        <v>83100</v>
      </c>
      <c r="H794" s="4">
        <v>21962</v>
      </c>
      <c r="I794" s="4"/>
      <c r="J794" s="4"/>
      <c r="K794" s="4"/>
      <c r="L794" s="6">
        <f t="shared" si="12"/>
        <v>3.78380839632092</v>
      </c>
      <c r="M794" s="4"/>
    </row>
    <row r="795" spans="1:13">
      <c r="A795" s="3">
        <v>45671</v>
      </c>
      <c r="B795" s="4" t="s">
        <v>6</v>
      </c>
      <c r="C795" s="4" t="s">
        <v>28</v>
      </c>
      <c r="D795" s="4" t="s">
        <v>25</v>
      </c>
      <c r="E795" s="4">
        <v>7</v>
      </c>
      <c r="F795" s="4">
        <v>4614</v>
      </c>
      <c r="G795" s="4">
        <v>32298</v>
      </c>
      <c r="H795" s="4">
        <v>69395</v>
      </c>
      <c r="I795" s="4"/>
      <c r="J795" s="4"/>
      <c r="K795" s="4"/>
      <c r="L795" s="6">
        <f t="shared" si="12"/>
        <v>0.465422580877585</v>
      </c>
      <c r="M795" s="4"/>
    </row>
    <row r="796" spans="1:13">
      <c r="A796" s="3">
        <v>45690</v>
      </c>
      <c r="B796" s="4" t="s">
        <v>8</v>
      </c>
      <c r="C796" s="4" t="s">
        <v>24</v>
      </c>
      <c r="D796" s="4" t="s">
        <v>31</v>
      </c>
      <c r="E796" s="4">
        <v>9</v>
      </c>
      <c r="F796" s="4">
        <v>4214</v>
      </c>
      <c r="G796" s="4">
        <v>37926</v>
      </c>
      <c r="H796" s="4">
        <v>129281</v>
      </c>
      <c r="I796" s="4"/>
      <c r="J796" s="4"/>
      <c r="K796" s="4"/>
      <c r="L796" s="6">
        <f t="shared" si="12"/>
        <v>0.29336097338356</v>
      </c>
      <c r="M796" s="4"/>
    </row>
    <row r="797" spans="1:13">
      <c r="A797" s="3">
        <v>45704</v>
      </c>
      <c r="B797" s="4" t="s">
        <v>3</v>
      </c>
      <c r="C797" s="4" t="s">
        <v>28</v>
      </c>
      <c r="D797" s="4" t="s">
        <v>33</v>
      </c>
      <c r="E797" s="4">
        <v>3</v>
      </c>
      <c r="F797" s="4">
        <v>819</v>
      </c>
      <c r="G797" s="4">
        <v>2457</v>
      </c>
      <c r="H797" s="4">
        <v>135748</v>
      </c>
      <c r="I797" s="4"/>
      <c r="J797" s="4"/>
      <c r="K797" s="4"/>
      <c r="L797" s="6">
        <f t="shared" si="12"/>
        <v>0.0180997141762678</v>
      </c>
      <c r="M797" s="4"/>
    </row>
    <row r="798" spans="1:13">
      <c r="A798" s="3">
        <v>45739</v>
      </c>
      <c r="B798" s="4" t="s">
        <v>7</v>
      </c>
      <c r="C798" s="4" t="s">
        <v>28</v>
      </c>
      <c r="D798" s="4" t="s">
        <v>32</v>
      </c>
      <c r="E798" s="4">
        <v>7</v>
      </c>
      <c r="F798" s="4">
        <v>11692</v>
      </c>
      <c r="G798" s="4">
        <v>81844</v>
      </c>
      <c r="H798" s="4">
        <v>31653</v>
      </c>
      <c r="I798" s="4"/>
      <c r="J798" s="4"/>
      <c r="K798" s="4"/>
      <c r="L798" s="6">
        <f t="shared" si="12"/>
        <v>2.58566328626039</v>
      </c>
      <c r="M798" s="4"/>
    </row>
    <row r="799" spans="1:13">
      <c r="A799" s="3">
        <v>45670</v>
      </c>
      <c r="B799" s="4" t="s">
        <v>7</v>
      </c>
      <c r="C799" s="4" t="s">
        <v>26</v>
      </c>
      <c r="D799" s="4" t="s">
        <v>30</v>
      </c>
      <c r="E799" s="4">
        <v>10</v>
      </c>
      <c r="F799" s="4">
        <v>24162</v>
      </c>
      <c r="G799" s="4">
        <v>241620</v>
      </c>
      <c r="H799" s="4">
        <v>69460</v>
      </c>
      <c r="I799" s="4"/>
      <c r="J799" s="4"/>
      <c r="K799" s="4"/>
      <c r="L799" s="6">
        <f t="shared" si="12"/>
        <v>3.47854880506766</v>
      </c>
      <c r="M799" s="4"/>
    </row>
    <row r="800" spans="1:13">
      <c r="A800" s="3">
        <v>45768</v>
      </c>
      <c r="B800" s="4" t="s">
        <v>8</v>
      </c>
      <c r="C800" s="4" t="s">
        <v>28</v>
      </c>
      <c r="D800" s="4" t="s">
        <v>31</v>
      </c>
      <c r="E800" s="4">
        <v>4</v>
      </c>
      <c r="F800" s="4">
        <v>39921</v>
      </c>
      <c r="G800" s="4">
        <v>159684</v>
      </c>
      <c r="H800" s="4">
        <v>58832</v>
      </c>
      <c r="I800" s="4"/>
      <c r="J800" s="4"/>
      <c r="K800" s="4"/>
      <c r="L800" s="6">
        <f t="shared" si="12"/>
        <v>2.71423714985042</v>
      </c>
      <c r="M800" s="4"/>
    </row>
    <row r="801" spans="1:13">
      <c r="A801" s="3">
        <v>45790</v>
      </c>
      <c r="B801" s="4" t="s">
        <v>4</v>
      </c>
      <c r="C801" s="4" t="s">
        <v>28</v>
      </c>
      <c r="D801" s="4" t="s">
        <v>27</v>
      </c>
      <c r="E801" s="4">
        <v>6</v>
      </c>
      <c r="F801" s="4">
        <v>48310</v>
      </c>
      <c r="G801" s="4">
        <v>289860</v>
      </c>
      <c r="H801" s="4">
        <v>175022</v>
      </c>
      <c r="I801" s="4"/>
      <c r="J801" s="4"/>
      <c r="K801" s="4"/>
      <c r="L801" s="6">
        <f t="shared" si="12"/>
        <v>1.65613465735736</v>
      </c>
      <c r="M801" s="4"/>
    </row>
    <row r="802" spans="1:13">
      <c r="A802" s="3">
        <v>45701</v>
      </c>
      <c r="B802" s="4" t="s">
        <v>2</v>
      </c>
      <c r="C802" s="4" t="s">
        <v>22</v>
      </c>
      <c r="D802" s="4" t="s">
        <v>31</v>
      </c>
      <c r="E802" s="4">
        <v>4</v>
      </c>
      <c r="F802" s="4">
        <v>5782</v>
      </c>
      <c r="G802" s="4">
        <v>23128</v>
      </c>
      <c r="H802" s="4">
        <v>15585</v>
      </c>
      <c r="I802" s="4"/>
      <c r="J802" s="4"/>
      <c r="K802" s="4"/>
      <c r="L802" s="6">
        <f t="shared" si="12"/>
        <v>1.48399101700353</v>
      </c>
      <c r="M802" s="4"/>
    </row>
    <row r="803" spans="1:13">
      <c r="A803" s="3">
        <v>45699</v>
      </c>
      <c r="B803" s="4" t="s">
        <v>3</v>
      </c>
      <c r="C803" s="4" t="s">
        <v>26</v>
      </c>
      <c r="D803" s="4" t="s">
        <v>31</v>
      </c>
      <c r="E803" s="4">
        <v>10</v>
      </c>
      <c r="F803" s="4">
        <v>39246</v>
      </c>
      <c r="G803" s="4">
        <v>392460</v>
      </c>
      <c r="H803" s="4">
        <v>57211</v>
      </c>
      <c r="I803" s="4"/>
      <c r="J803" s="4"/>
      <c r="K803" s="4"/>
      <c r="L803" s="6">
        <f t="shared" si="12"/>
        <v>6.85986960549545</v>
      </c>
      <c r="M803" s="4"/>
    </row>
    <row r="804" spans="1:13">
      <c r="A804" s="3">
        <v>45789</v>
      </c>
      <c r="B804" s="4" t="s">
        <v>5</v>
      </c>
      <c r="C804" s="4" t="s">
        <v>28</v>
      </c>
      <c r="D804" s="4" t="s">
        <v>27</v>
      </c>
      <c r="E804" s="4">
        <v>8</v>
      </c>
      <c r="F804" s="4">
        <v>13360</v>
      </c>
      <c r="G804" s="4">
        <v>106880</v>
      </c>
      <c r="H804" s="4">
        <v>24335</v>
      </c>
      <c r="I804" s="4"/>
      <c r="J804" s="4"/>
      <c r="K804" s="4"/>
      <c r="L804" s="6">
        <f t="shared" si="12"/>
        <v>4.39202794329156</v>
      </c>
      <c r="M804" s="4"/>
    </row>
    <row r="805" spans="1:13">
      <c r="A805" s="3">
        <v>45830</v>
      </c>
      <c r="B805" s="4" t="s">
        <v>2</v>
      </c>
      <c r="C805" s="4" t="s">
        <v>26</v>
      </c>
      <c r="D805" s="4" t="s">
        <v>31</v>
      </c>
      <c r="E805" s="4">
        <v>8</v>
      </c>
      <c r="F805" s="4">
        <v>17757</v>
      </c>
      <c r="G805" s="4">
        <v>142056</v>
      </c>
      <c r="H805" s="4">
        <v>195610</v>
      </c>
      <c r="I805" s="4"/>
      <c r="J805" s="4"/>
      <c r="K805" s="4"/>
      <c r="L805" s="6">
        <f t="shared" si="12"/>
        <v>0.726220540872144</v>
      </c>
      <c r="M805" s="4"/>
    </row>
    <row r="806" spans="1:13">
      <c r="A806" s="3">
        <v>45766</v>
      </c>
      <c r="B806" s="4" t="s">
        <v>5</v>
      </c>
      <c r="C806" s="4" t="s">
        <v>26</v>
      </c>
      <c r="D806" s="4" t="s">
        <v>29</v>
      </c>
      <c r="E806" s="4">
        <v>6</v>
      </c>
      <c r="F806" s="4">
        <v>1246</v>
      </c>
      <c r="G806" s="4">
        <v>7476</v>
      </c>
      <c r="H806" s="4">
        <v>161085</v>
      </c>
      <c r="I806" s="4"/>
      <c r="J806" s="4"/>
      <c r="K806" s="4"/>
      <c r="L806" s="6">
        <f t="shared" si="12"/>
        <v>0.0464102802868051</v>
      </c>
      <c r="M806" s="4"/>
    </row>
    <row r="807" spans="1:13">
      <c r="A807" s="3">
        <v>45750</v>
      </c>
      <c r="B807" s="4" t="s">
        <v>3</v>
      </c>
      <c r="C807" s="4" t="s">
        <v>26</v>
      </c>
      <c r="D807" s="4" t="s">
        <v>31</v>
      </c>
      <c r="E807" s="4">
        <v>8</v>
      </c>
      <c r="F807" s="4">
        <v>18967</v>
      </c>
      <c r="G807" s="4">
        <v>151736</v>
      </c>
      <c r="H807" s="4">
        <v>44514</v>
      </c>
      <c r="I807" s="4"/>
      <c r="J807" s="4"/>
      <c r="K807" s="4"/>
      <c r="L807" s="6">
        <f t="shared" si="12"/>
        <v>3.40872534483533</v>
      </c>
      <c r="M807" s="4"/>
    </row>
    <row r="808" spans="1:13">
      <c r="A808" s="3">
        <v>45744</v>
      </c>
      <c r="B808" s="4" t="s">
        <v>6</v>
      </c>
      <c r="C808" s="4" t="s">
        <v>26</v>
      </c>
      <c r="D808" s="4" t="s">
        <v>29</v>
      </c>
      <c r="E808" s="4">
        <v>3</v>
      </c>
      <c r="F808" s="4">
        <v>46199</v>
      </c>
      <c r="G808" s="4">
        <v>138597</v>
      </c>
      <c r="H808" s="4">
        <v>120742</v>
      </c>
      <c r="I808" s="4"/>
      <c r="J808" s="4"/>
      <c r="K808" s="4"/>
      <c r="L808" s="6">
        <f t="shared" si="12"/>
        <v>1.14787729207732</v>
      </c>
      <c r="M808" s="4"/>
    </row>
    <row r="809" spans="1:13">
      <c r="A809" s="3">
        <v>45729</v>
      </c>
      <c r="B809" s="4" t="s">
        <v>4</v>
      </c>
      <c r="C809" s="4" t="s">
        <v>26</v>
      </c>
      <c r="D809" s="4" t="s">
        <v>25</v>
      </c>
      <c r="E809" s="4">
        <v>1</v>
      </c>
      <c r="F809" s="4">
        <v>4879</v>
      </c>
      <c r="G809" s="4">
        <v>4879</v>
      </c>
      <c r="H809" s="4">
        <v>65599</v>
      </c>
      <c r="I809" s="4"/>
      <c r="J809" s="4"/>
      <c r="K809" s="4"/>
      <c r="L809" s="6">
        <f t="shared" si="12"/>
        <v>0.0743761337825272</v>
      </c>
      <c r="M809" s="4"/>
    </row>
    <row r="810" spans="1:13">
      <c r="A810" s="3">
        <v>45739</v>
      </c>
      <c r="B810" s="4" t="s">
        <v>2</v>
      </c>
      <c r="C810" s="4" t="s">
        <v>22</v>
      </c>
      <c r="D810" s="4" t="s">
        <v>29</v>
      </c>
      <c r="E810" s="4">
        <v>10</v>
      </c>
      <c r="F810" s="4">
        <v>22233</v>
      </c>
      <c r="G810" s="4">
        <v>222330</v>
      </c>
      <c r="H810" s="4">
        <v>45784</v>
      </c>
      <c r="I810" s="4"/>
      <c r="J810" s="4"/>
      <c r="K810" s="4"/>
      <c r="L810" s="6">
        <f t="shared" si="12"/>
        <v>4.85606325353835</v>
      </c>
      <c r="M810" s="4"/>
    </row>
    <row r="811" spans="1:13">
      <c r="A811" s="3">
        <v>45669</v>
      </c>
      <c r="B811" s="4" t="s">
        <v>4</v>
      </c>
      <c r="C811" s="4" t="s">
        <v>22</v>
      </c>
      <c r="D811" s="4" t="s">
        <v>27</v>
      </c>
      <c r="E811" s="4">
        <v>3</v>
      </c>
      <c r="F811" s="4">
        <v>21777</v>
      </c>
      <c r="G811" s="4">
        <v>65331</v>
      </c>
      <c r="H811" s="4">
        <v>75532</v>
      </c>
      <c r="I811" s="4"/>
      <c r="J811" s="4"/>
      <c r="K811" s="4"/>
      <c r="L811" s="6">
        <f t="shared" si="12"/>
        <v>0.864944659217285</v>
      </c>
      <c r="M811" s="4"/>
    </row>
    <row r="812" spans="1:13">
      <c r="A812" s="3">
        <v>45672</v>
      </c>
      <c r="B812" s="4" t="s">
        <v>6</v>
      </c>
      <c r="C812" s="4" t="s">
        <v>22</v>
      </c>
      <c r="D812" s="4" t="s">
        <v>25</v>
      </c>
      <c r="E812" s="4">
        <v>4</v>
      </c>
      <c r="F812" s="4">
        <v>48189</v>
      </c>
      <c r="G812" s="4">
        <v>192756</v>
      </c>
      <c r="H812" s="4">
        <v>52205</v>
      </c>
      <c r="I812" s="4"/>
      <c r="J812" s="4"/>
      <c r="K812" s="4"/>
      <c r="L812" s="6">
        <f t="shared" si="12"/>
        <v>3.69229001053539</v>
      </c>
      <c r="M812" s="4"/>
    </row>
    <row r="813" spans="1:13">
      <c r="A813" s="3">
        <v>45741</v>
      </c>
      <c r="B813" s="4" t="s">
        <v>6</v>
      </c>
      <c r="C813" s="4" t="s">
        <v>22</v>
      </c>
      <c r="D813" s="4" t="s">
        <v>31</v>
      </c>
      <c r="E813" s="4">
        <v>10</v>
      </c>
      <c r="F813" s="4">
        <v>42328</v>
      </c>
      <c r="G813" s="4">
        <v>423280</v>
      </c>
      <c r="H813" s="4">
        <v>196265</v>
      </c>
      <c r="I813" s="4"/>
      <c r="J813" s="4"/>
      <c r="K813" s="4"/>
      <c r="L813" s="6">
        <f t="shared" si="12"/>
        <v>2.1566759228594</v>
      </c>
      <c r="M813" s="4"/>
    </row>
    <row r="814" spans="1:13">
      <c r="A814" s="3">
        <v>45701</v>
      </c>
      <c r="B814" s="4" t="s">
        <v>8</v>
      </c>
      <c r="C814" s="4" t="s">
        <v>22</v>
      </c>
      <c r="D814" s="4" t="s">
        <v>25</v>
      </c>
      <c r="E814" s="4">
        <v>7</v>
      </c>
      <c r="F814" s="4">
        <v>5529</v>
      </c>
      <c r="G814" s="4">
        <v>38703</v>
      </c>
      <c r="H814" s="4">
        <v>98135</v>
      </c>
      <c r="I814" s="4"/>
      <c r="J814" s="4"/>
      <c r="K814" s="4"/>
      <c r="L814" s="6">
        <f t="shared" si="12"/>
        <v>0.394385285575992</v>
      </c>
      <c r="M814" s="4"/>
    </row>
    <row r="815" spans="1:13">
      <c r="A815" s="3">
        <v>45746</v>
      </c>
      <c r="B815" s="4" t="s">
        <v>4</v>
      </c>
      <c r="C815" s="4" t="s">
        <v>24</v>
      </c>
      <c r="D815" s="4" t="s">
        <v>23</v>
      </c>
      <c r="E815" s="4">
        <v>3</v>
      </c>
      <c r="F815" s="4">
        <v>28467</v>
      </c>
      <c r="G815" s="4">
        <v>85401</v>
      </c>
      <c r="H815" s="4">
        <v>76018</v>
      </c>
      <c r="I815" s="4"/>
      <c r="J815" s="4"/>
      <c r="K815" s="4"/>
      <c r="L815" s="6">
        <f t="shared" si="12"/>
        <v>1.1234312925886</v>
      </c>
      <c r="M815" s="4"/>
    </row>
    <row r="816" spans="1:13">
      <c r="A816" s="3">
        <v>45727</v>
      </c>
      <c r="B816" s="4" t="s">
        <v>8</v>
      </c>
      <c r="C816" s="4" t="s">
        <v>26</v>
      </c>
      <c r="D816" s="4" t="s">
        <v>31</v>
      </c>
      <c r="E816" s="4">
        <v>2</v>
      </c>
      <c r="F816" s="4">
        <v>37913</v>
      </c>
      <c r="G816" s="4">
        <v>75826</v>
      </c>
      <c r="H816" s="4">
        <v>136036</v>
      </c>
      <c r="I816" s="4"/>
      <c r="J816" s="4"/>
      <c r="K816" s="4"/>
      <c r="L816" s="6">
        <f t="shared" si="12"/>
        <v>0.55739657149578</v>
      </c>
      <c r="M816" s="4"/>
    </row>
    <row r="817" spans="1:13">
      <c r="A817" s="3">
        <v>45691</v>
      </c>
      <c r="B817" s="4" t="s">
        <v>6</v>
      </c>
      <c r="C817" s="4" t="s">
        <v>28</v>
      </c>
      <c r="D817" s="4" t="s">
        <v>23</v>
      </c>
      <c r="E817" s="4">
        <v>1</v>
      </c>
      <c r="F817" s="4">
        <v>5981</v>
      </c>
      <c r="G817" s="4">
        <v>5981</v>
      </c>
      <c r="H817" s="4">
        <v>84361</v>
      </c>
      <c r="I817" s="4"/>
      <c r="J817" s="4"/>
      <c r="K817" s="4"/>
      <c r="L817" s="6">
        <f t="shared" si="12"/>
        <v>0.0708976896907339</v>
      </c>
      <c r="M817" s="4"/>
    </row>
    <row r="818" spans="1:13">
      <c r="A818" s="3">
        <v>45664</v>
      </c>
      <c r="B818" s="4" t="s">
        <v>8</v>
      </c>
      <c r="C818" s="4" t="s">
        <v>26</v>
      </c>
      <c r="D818" s="4" t="s">
        <v>31</v>
      </c>
      <c r="E818" s="4">
        <v>8</v>
      </c>
      <c r="F818" s="4">
        <v>28435</v>
      </c>
      <c r="G818" s="4">
        <v>227480</v>
      </c>
      <c r="H818" s="4">
        <v>27814</v>
      </c>
      <c r="I818" s="4"/>
      <c r="J818" s="4"/>
      <c r="K818" s="4"/>
      <c r="L818" s="6">
        <f t="shared" si="12"/>
        <v>8.17861508592795</v>
      </c>
      <c r="M818" s="4"/>
    </row>
    <row r="819" spans="1:13">
      <c r="A819" s="3">
        <v>45777</v>
      </c>
      <c r="B819" s="4" t="s">
        <v>3</v>
      </c>
      <c r="C819" s="4" t="s">
        <v>26</v>
      </c>
      <c r="D819" s="4" t="s">
        <v>29</v>
      </c>
      <c r="E819" s="4">
        <v>9</v>
      </c>
      <c r="F819" s="4">
        <v>21487</v>
      </c>
      <c r="G819" s="4">
        <v>193383</v>
      </c>
      <c r="H819" s="4">
        <v>153748</v>
      </c>
      <c r="I819" s="4"/>
      <c r="J819" s="4"/>
      <c r="K819" s="4"/>
      <c r="L819" s="6">
        <f t="shared" si="12"/>
        <v>1.25779197127768</v>
      </c>
      <c r="M819" s="4"/>
    </row>
    <row r="820" spans="1:13">
      <c r="A820" s="3">
        <v>45711</v>
      </c>
      <c r="B820" s="4" t="s">
        <v>8</v>
      </c>
      <c r="C820" s="4" t="s">
        <v>24</v>
      </c>
      <c r="D820" s="4" t="s">
        <v>31</v>
      </c>
      <c r="E820" s="4">
        <v>6</v>
      </c>
      <c r="F820" s="4">
        <v>40093</v>
      </c>
      <c r="G820" s="4">
        <v>240558</v>
      </c>
      <c r="H820" s="4">
        <v>65501</v>
      </c>
      <c r="I820" s="4"/>
      <c r="J820" s="4"/>
      <c r="K820" s="4"/>
      <c r="L820" s="6">
        <f t="shared" si="12"/>
        <v>3.67258515137173</v>
      </c>
      <c r="M820" s="4"/>
    </row>
    <row r="821" spans="1:13">
      <c r="A821" s="3">
        <v>45749</v>
      </c>
      <c r="B821" s="4" t="s">
        <v>8</v>
      </c>
      <c r="C821" s="4" t="s">
        <v>22</v>
      </c>
      <c r="D821" s="4" t="s">
        <v>30</v>
      </c>
      <c r="E821" s="4">
        <v>5</v>
      </c>
      <c r="F821" s="4">
        <v>12789</v>
      </c>
      <c r="G821" s="4">
        <v>63945</v>
      </c>
      <c r="H821" s="4">
        <v>170710</v>
      </c>
      <c r="I821" s="4"/>
      <c r="J821" s="4"/>
      <c r="K821" s="4"/>
      <c r="L821" s="6">
        <f t="shared" si="12"/>
        <v>0.374582625505243</v>
      </c>
      <c r="M821" s="4"/>
    </row>
    <row r="822" spans="1:13">
      <c r="A822" s="3">
        <v>45698</v>
      </c>
      <c r="B822" s="4" t="s">
        <v>8</v>
      </c>
      <c r="C822" s="4" t="s">
        <v>28</v>
      </c>
      <c r="D822" s="4" t="s">
        <v>30</v>
      </c>
      <c r="E822" s="4">
        <v>5</v>
      </c>
      <c r="F822" s="4">
        <v>6474</v>
      </c>
      <c r="G822" s="4">
        <v>32370</v>
      </c>
      <c r="H822" s="4">
        <v>70932</v>
      </c>
      <c r="I822" s="4"/>
      <c r="J822" s="4"/>
      <c r="K822" s="4"/>
      <c r="L822" s="6">
        <f t="shared" si="12"/>
        <v>0.456352563018102</v>
      </c>
      <c r="M822" s="4"/>
    </row>
    <row r="823" spans="1:13">
      <c r="A823" s="3">
        <v>45767</v>
      </c>
      <c r="B823" s="4" t="s">
        <v>8</v>
      </c>
      <c r="C823" s="4" t="s">
        <v>24</v>
      </c>
      <c r="D823" s="4" t="s">
        <v>25</v>
      </c>
      <c r="E823" s="4">
        <v>1</v>
      </c>
      <c r="F823" s="4">
        <v>37208</v>
      </c>
      <c r="G823" s="4">
        <v>37208</v>
      </c>
      <c r="H823" s="4">
        <v>25854</v>
      </c>
      <c r="I823" s="4"/>
      <c r="J823" s="4"/>
      <c r="K823" s="4"/>
      <c r="L823" s="6">
        <f t="shared" si="12"/>
        <v>1.43915835073876</v>
      </c>
      <c r="M823" s="4"/>
    </row>
    <row r="824" spans="1:13">
      <c r="A824" s="3">
        <v>45806</v>
      </c>
      <c r="B824" s="4" t="s">
        <v>4</v>
      </c>
      <c r="C824" s="4" t="s">
        <v>26</v>
      </c>
      <c r="D824" s="4" t="s">
        <v>33</v>
      </c>
      <c r="E824" s="4">
        <v>9</v>
      </c>
      <c r="F824" s="4">
        <v>4979</v>
      </c>
      <c r="G824" s="4">
        <v>44811</v>
      </c>
      <c r="H824" s="4">
        <v>97765</v>
      </c>
      <c r="I824" s="4"/>
      <c r="J824" s="4"/>
      <c r="K824" s="4"/>
      <c r="L824" s="6">
        <f t="shared" si="12"/>
        <v>0.458354216744234</v>
      </c>
      <c r="M824" s="4"/>
    </row>
    <row r="825" spans="1:13">
      <c r="A825" s="3">
        <v>45750</v>
      </c>
      <c r="B825" s="4" t="s">
        <v>2</v>
      </c>
      <c r="C825" s="4" t="s">
        <v>26</v>
      </c>
      <c r="D825" s="4" t="s">
        <v>23</v>
      </c>
      <c r="E825" s="4">
        <v>8</v>
      </c>
      <c r="F825" s="4">
        <v>32519</v>
      </c>
      <c r="G825" s="4">
        <v>260152</v>
      </c>
      <c r="H825" s="4">
        <v>193602</v>
      </c>
      <c r="I825" s="4"/>
      <c r="J825" s="4"/>
      <c r="K825" s="4"/>
      <c r="L825" s="6">
        <f t="shared" si="12"/>
        <v>1.34374644890032</v>
      </c>
      <c r="M825" s="4"/>
    </row>
    <row r="826" spans="1:13">
      <c r="A826" s="3">
        <v>45718</v>
      </c>
      <c r="B826" s="4" t="s">
        <v>7</v>
      </c>
      <c r="C826" s="4" t="s">
        <v>24</v>
      </c>
      <c r="D826" s="4" t="s">
        <v>23</v>
      </c>
      <c r="E826" s="4">
        <v>10</v>
      </c>
      <c r="F826" s="4">
        <v>36667</v>
      </c>
      <c r="G826" s="4">
        <v>366670</v>
      </c>
      <c r="H826" s="4">
        <v>121652</v>
      </c>
      <c r="I826" s="4"/>
      <c r="J826" s="4"/>
      <c r="K826" s="4"/>
      <c r="L826" s="6">
        <f t="shared" si="12"/>
        <v>3.01408936967744</v>
      </c>
      <c r="M826" s="4"/>
    </row>
    <row r="827" spans="1:13">
      <c r="A827" s="3">
        <v>45680</v>
      </c>
      <c r="B827" s="4" t="s">
        <v>4</v>
      </c>
      <c r="C827" s="4" t="s">
        <v>28</v>
      </c>
      <c r="D827" s="4" t="s">
        <v>30</v>
      </c>
      <c r="E827" s="4">
        <v>9</v>
      </c>
      <c r="F827" s="4">
        <v>40878</v>
      </c>
      <c r="G827" s="4">
        <v>367902</v>
      </c>
      <c r="H827" s="4">
        <v>129413</v>
      </c>
      <c r="I827" s="4"/>
      <c r="J827" s="4"/>
      <c r="K827" s="4"/>
      <c r="L827" s="6">
        <f t="shared" si="12"/>
        <v>2.84285195459498</v>
      </c>
      <c r="M827" s="4"/>
    </row>
    <row r="828" spans="1:13">
      <c r="A828" s="3">
        <v>45724</v>
      </c>
      <c r="B828" s="4" t="s">
        <v>4</v>
      </c>
      <c r="C828" s="4" t="s">
        <v>28</v>
      </c>
      <c r="D828" s="4" t="s">
        <v>23</v>
      </c>
      <c r="E828" s="4">
        <v>4</v>
      </c>
      <c r="F828" s="4">
        <v>34201</v>
      </c>
      <c r="G828" s="4">
        <v>136804</v>
      </c>
      <c r="H828" s="4">
        <v>100911</v>
      </c>
      <c r="I828" s="4"/>
      <c r="J828" s="4"/>
      <c r="K828" s="4"/>
      <c r="L828" s="6">
        <f t="shared" si="12"/>
        <v>1.35568966713242</v>
      </c>
      <c r="M828" s="4"/>
    </row>
    <row r="829" spans="1:13">
      <c r="A829" s="3">
        <v>45731</v>
      </c>
      <c r="B829" s="4" t="s">
        <v>7</v>
      </c>
      <c r="C829" s="4" t="s">
        <v>24</v>
      </c>
      <c r="D829" s="4" t="s">
        <v>32</v>
      </c>
      <c r="E829" s="4">
        <v>4</v>
      </c>
      <c r="F829" s="4">
        <v>12233</v>
      </c>
      <c r="G829" s="4">
        <v>48932</v>
      </c>
      <c r="H829" s="4">
        <v>45512</v>
      </c>
      <c r="I829" s="4"/>
      <c r="J829" s="4"/>
      <c r="K829" s="4"/>
      <c r="L829" s="6">
        <f t="shared" si="12"/>
        <v>1.07514501669889</v>
      </c>
      <c r="M829" s="4"/>
    </row>
    <row r="830" spans="1:13">
      <c r="A830" s="3">
        <v>45728</v>
      </c>
      <c r="B830" s="4" t="s">
        <v>4</v>
      </c>
      <c r="C830" s="4" t="s">
        <v>22</v>
      </c>
      <c r="D830" s="4" t="s">
        <v>31</v>
      </c>
      <c r="E830" s="4">
        <v>4</v>
      </c>
      <c r="F830" s="4">
        <v>40396</v>
      </c>
      <c r="G830" s="4">
        <v>161584</v>
      </c>
      <c r="H830" s="4">
        <v>26070</v>
      </c>
      <c r="I830" s="4"/>
      <c r="J830" s="4"/>
      <c r="K830" s="4"/>
      <c r="L830" s="6">
        <f t="shared" si="12"/>
        <v>6.19808208668968</v>
      </c>
      <c r="M830" s="4"/>
    </row>
    <row r="831" spans="1:13">
      <c r="A831" s="3">
        <v>45765</v>
      </c>
      <c r="B831" s="4" t="s">
        <v>6</v>
      </c>
      <c r="C831" s="4" t="s">
        <v>22</v>
      </c>
      <c r="D831" s="4" t="s">
        <v>23</v>
      </c>
      <c r="E831" s="4">
        <v>3</v>
      </c>
      <c r="F831" s="4">
        <v>42010</v>
      </c>
      <c r="G831" s="4">
        <v>126030</v>
      </c>
      <c r="H831" s="4">
        <v>116867</v>
      </c>
      <c r="I831" s="4"/>
      <c r="J831" s="4"/>
      <c r="K831" s="4"/>
      <c r="L831" s="6">
        <f t="shared" si="12"/>
        <v>1.07840536678446</v>
      </c>
      <c r="M831" s="4"/>
    </row>
    <row r="832" spans="1:13">
      <c r="A832" s="3">
        <v>45775</v>
      </c>
      <c r="B832" s="4" t="s">
        <v>4</v>
      </c>
      <c r="C832" s="4" t="s">
        <v>22</v>
      </c>
      <c r="D832" s="4" t="s">
        <v>23</v>
      </c>
      <c r="E832" s="4">
        <v>8</v>
      </c>
      <c r="F832" s="4">
        <v>25015</v>
      </c>
      <c r="G832" s="4">
        <v>200120</v>
      </c>
      <c r="H832" s="4">
        <v>33302</v>
      </c>
      <c r="I832" s="4"/>
      <c r="J832" s="4"/>
      <c r="K832" s="4"/>
      <c r="L832" s="6">
        <f t="shared" si="12"/>
        <v>6.00924869377215</v>
      </c>
      <c r="M832" s="4"/>
    </row>
    <row r="833" spans="1:13">
      <c r="A833" s="3">
        <v>45670</v>
      </c>
      <c r="B833" s="4" t="s">
        <v>2</v>
      </c>
      <c r="C833" s="4" t="s">
        <v>22</v>
      </c>
      <c r="D833" s="4" t="s">
        <v>33</v>
      </c>
      <c r="E833" s="4">
        <v>5</v>
      </c>
      <c r="F833" s="4">
        <v>30328</v>
      </c>
      <c r="G833" s="4">
        <v>151640</v>
      </c>
      <c r="H833" s="4">
        <v>106576</v>
      </c>
      <c r="I833" s="4"/>
      <c r="J833" s="4"/>
      <c r="K833" s="4"/>
      <c r="L833" s="6">
        <f t="shared" si="12"/>
        <v>1.42283440924786</v>
      </c>
      <c r="M833" s="4"/>
    </row>
    <row r="834" spans="1:13">
      <c r="A834" s="3">
        <v>45745</v>
      </c>
      <c r="B834" s="4" t="s">
        <v>4</v>
      </c>
      <c r="C834" s="4" t="s">
        <v>26</v>
      </c>
      <c r="D834" s="4" t="s">
        <v>30</v>
      </c>
      <c r="E834" s="4">
        <v>4</v>
      </c>
      <c r="F834" s="4">
        <v>9593</v>
      </c>
      <c r="G834" s="4">
        <v>38372</v>
      </c>
      <c r="H834" s="4">
        <v>29154</v>
      </c>
      <c r="I834" s="4"/>
      <c r="J834" s="4"/>
      <c r="K834" s="4"/>
      <c r="L834" s="6">
        <f t="shared" si="12"/>
        <v>1.3161830280579</v>
      </c>
      <c r="M834" s="4"/>
    </row>
    <row r="835" spans="1:13">
      <c r="A835" s="3">
        <v>45811</v>
      </c>
      <c r="B835" s="4" t="s">
        <v>2</v>
      </c>
      <c r="C835" s="4" t="s">
        <v>24</v>
      </c>
      <c r="D835" s="4" t="s">
        <v>33</v>
      </c>
      <c r="E835" s="4">
        <v>1</v>
      </c>
      <c r="F835" s="4">
        <v>11587</v>
      </c>
      <c r="G835" s="4">
        <v>11587</v>
      </c>
      <c r="H835" s="4">
        <v>140301</v>
      </c>
      <c r="I835" s="4"/>
      <c r="J835" s="4"/>
      <c r="K835" s="4"/>
      <c r="L835" s="6">
        <f t="shared" ref="L835:L898" si="13">G835/H835</f>
        <v>0.0825867242571329</v>
      </c>
      <c r="M835" s="4"/>
    </row>
    <row r="836" spans="1:13">
      <c r="A836" s="3">
        <v>45798</v>
      </c>
      <c r="B836" s="4" t="s">
        <v>3</v>
      </c>
      <c r="C836" s="4" t="s">
        <v>24</v>
      </c>
      <c r="D836" s="4" t="s">
        <v>32</v>
      </c>
      <c r="E836" s="4">
        <v>5</v>
      </c>
      <c r="F836" s="4">
        <v>16834</v>
      </c>
      <c r="G836" s="4">
        <v>84170</v>
      </c>
      <c r="H836" s="4">
        <v>139184</v>
      </c>
      <c r="I836" s="4"/>
      <c r="J836" s="4"/>
      <c r="K836" s="4"/>
      <c r="L836" s="6">
        <f t="shared" si="13"/>
        <v>0.604739050465571</v>
      </c>
      <c r="M836" s="4"/>
    </row>
    <row r="837" spans="1:13">
      <c r="A837" s="3">
        <v>45770</v>
      </c>
      <c r="B837" s="4" t="s">
        <v>3</v>
      </c>
      <c r="C837" s="4" t="s">
        <v>26</v>
      </c>
      <c r="D837" s="4" t="s">
        <v>33</v>
      </c>
      <c r="E837" s="4">
        <v>1</v>
      </c>
      <c r="F837" s="4">
        <v>12860</v>
      </c>
      <c r="G837" s="4">
        <v>12860</v>
      </c>
      <c r="H837" s="4">
        <v>52392</v>
      </c>
      <c r="I837" s="4"/>
      <c r="J837" s="4"/>
      <c r="K837" s="4"/>
      <c r="L837" s="6">
        <f t="shared" si="13"/>
        <v>0.245457321728508</v>
      </c>
      <c r="M837" s="4"/>
    </row>
    <row r="838" spans="1:13">
      <c r="A838" s="3">
        <v>45784</v>
      </c>
      <c r="B838" s="4" t="s">
        <v>8</v>
      </c>
      <c r="C838" s="4" t="s">
        <v>22</v>
      </c>
      <c r="D838" s="4" t="s">
        <v>25</v>
      </c>
      <c r="E838" s="4">
        <v>8</v>
      </c>
      <c r="F838" s="4">
        <v>49168</v>
      </c>
      <c r="G838" s="4">
        <v>393344</v>
      </c>
      <c r="H838" s="4">
        <v>142039</v>
      </c>
      <c r="I838" s="4"/>
      <c r="J838" s="4"/>
      <c r="K838" s="4"/>
      <c r="L838" s="6">
        <f t="shared" si="13"/>
        <v>2.76926759551954</v>
      </c>
      <c r="M838" s="4"/>
    </row>
    <row r="839" spans="1:13">
      <c r="A839" s="3">
        <v>45698</v>
      </c>
      <c r="B839" s="4" t="s">
        <v>7</v>
      </c>
      <c r="C839" s="4" t="s">
        <v>22</v>
      </c>
      <c r="D839" s="4" t="s">
        <v>23</v>
      </c>
      <c r="E839" s="4">
        <v>7</v>
      </c>
      <c r="F839" s="4">
        <v>25323</v>
      </c>
      <c r="G839" s="4">
        <v>177261</v>
      </c>
      <c r="H839" s="4">
        <v>95540</v>
      </c>
      <c r="I839" s="4"/>
      <c r="J839" s="4"/>
      <c r="K839" s="4"/>
      <c r="L839" s="6">
        <f t="shared" si="13"/>
        <v>1.85535901193218</v>
      </c>
      <c r="M839" s="4"/>
    </row>
    <row r="840" spans="1:13">
      <c r="A840" s="3">
        <v>45745</v>
      </c>
      <c r="B840" s="4" t="s">
        <v>8</v>
      </c>
      <c r="C840" s="4" t="s">
        <v>22</v>
      </c>
      <c r="D840" s="4" t="s">
        <v>32</v>
      </c>
      <c r="E840" s="4">
        <v>2</v>
      </c>
      <c r="F840" s="4">
        <v>629</v>
      </c>
      <c r="G840" s="4">
        <v>1258</v>
      </c>
      <c r="H840" s="4">
        <v>68605</v>
      </c>
      <c r="I840" s="4"/>
      <c r="J840" s="4"/>
      <c r="K840" s="4"/>
      <c r="L840" s="6">
        <f t="shared" si="13"/>
        <v>0.018336855914292</v>
      </c>
      <c r="M840" s="4"/>
    </row>
    <row r="841" spans="1:13">
      <c r="A841" s="3">
        <v>45738</v>
      </c>
      <c r="B841" s="4" t="s">
        <v>7</v>
      </c>
      <c r="C841" s="4" t="s">
        <v>26</v>
      </c>
      <c r="D841" s="4" t="s">
        <v>33</v>
      </c>
      <c r="E841" s="4">
        <v>5</v>
      </c>
      <c r="F841" s="4">
        <v>15267</v>
      </c>
      <c r="G841" s="4">
        <v>76335</v>
      </c>
      <c r="H841" s="4">
        <v>87564</v>
      </c>
      <c r="I841" s="4"/>
      <c r="J841" s="4"/>
      <c r="K841" s="4"/>
      <c r="L841" s="6">
        <f t="shared" si="13"/>
        <v>0.871762368096478</v>
      </c>
      <c r="M841" s="4"/>
    </row>
    <row r="842" spans="1:13">
      <c r="A842" s="3">
        <v>45750</v>
      </c>
      <c r="B842" s="4" t="s">
        <v>5</v>
      </c>
      <c r="C842" s="4" t="s">
        <v>26</v>
      </c>
      <c r="D842" s="4" t="s">
        <v>33</v>
      </c>
      <c r="E842" s="4">
        <v>9</v>
      </c>
      <c r="F842" s="4">
        <v>13325</v>
      </c>
      <c r="G842" s="4">
        <v>119925</v>
      </c>
      <c r="H842" s="4">
        <v>175043</v>
      </c>
      <c r="I842" s="4"/>
      <c r="J842" s="4"/>
      <c r="K842" s="4"/>
      <c r="L842" s="6">
        <f t="shared" si="13"/>
        <v>0.685117371160229</v>
      </c>
      <c r="M842" s="4"/>
    </row>
    <row r="843" spans="1:13">
      <c r="A843" s="3">
        <v>45672</v>
      </c>
      <c r="B843" s="4" t="s">
        <v>3</v>
      </c>
      <c r="C843" s="4" t="s">
        <v>28</v>
      </c>
      <c r="D843" s="4" t="s">
        <v>27</v>
      </c>
      <c r="E843" s="4">
        <v>9</v>
      </c>
      <c r="F843" s="4">
        <v>35761</v>
      </c>
      <c r="G843" s="4">
        <v>321849</v>
      </c>
      <c r="H843" s="4">
        <v>55714</v>
      </c>
      <c r="I843" s="4"/>
      <c r="J843" s="4"/>
      <c r="K843" s="4"/>
      <c r="L843" s="6">
        <f t="shared" si="13"/>
        <v>5.77680654772589</v>
      </c>
      <c r="M843" s="4"/>
    </row>
    <row r="844" spans="1:13">
      <c r="A844" s="3">
        <v>45737</v>
      </c>
      <c r="B844" s="4" t="s">
        <v>4</v>
      </c>
      <c r="C844" s="4" t="s">
        <v>26</v>
      </c>
      <c r="D844" s="4" t="s">
        <v>32</v>
      </c>
      <c r="E844" s="4">
        <v>10</v>
      </c>
      <c r="F844" s="4">
        <v>35812</v>
      </c>
      <c r="G844" s="4">
        <v>358120</v>
      </c>
      <c r="H844" s="4">
        <v>55407</v>
      </c>
      <c r="I844" s="4"/>
      <c r="J844" s="4"/>
      <c r="K844" s="4"/>
      <c r="L844" s="6">
        <f t="shared" si="13"/>
        <v>6.46344324724313</v>
      </c>
      <c r="M844" s="4"/>
    </row>
    <row r="845" spans="1:13">
      <c r="A845" s="3">
        <v>45786</v>
      </c>
      <c r="B845" s="4" t="s">
        <v>6</v>
      </c>
      <c r="C845" s="4" t="s">
        <v>26</v>
      </c>
      <c r="D845" s="4" t="s">
        <v>23</v>
      </c>
      <c r="E845" s="4">
        <v>10</v>
      </c>
      <c r="F845" s="4">
        <v>29387</v>
      </c>
      <c r="G845" s="4">
        <v>293870</v>
      </c>
      <c r="H845" s="4">
        <v>55031</v>
      </c>
      <c r="I845" s="4"/>
      <c r="J845" s="4"/>
      <c r="K845" s="4"/>
      <c r="L845" s="6">
        <f t="shared" si="13"/>
        <v>5.34008104522905</v>
      </c>
      <c r="M845" s="4"/>
    </row>
    <row r="846" spans="1:13">
      <c r="A846" s="3">
        <v>45707</v>
      </c>
      <c r="B846" s="4" t="s">
        <v>2</v>
      </c>
      <c r="C846" s="4" t="s">
        <v>26</v>
      </c>
      <c r="D846" s="4" t="s">
        <v>30</v>
      </c>
      <c r="E846" s="4">
        <v>10</v>
      </c>
      <c r="F846" s="4">
        <v>23622</v>
      </c>
      <c r="G846" s="4">
        <v>236220</v>
      </c>
      <c r="H846" s="4">
        <v>97032</v>
      </c>
      <c r="I846" s="4"/>
      <c r="J846" s="4"/>
      <c r="K846" s="4"/>
      <c r="L846" s="6">
        <f t="shared" si="13"/>
        <v>2.4344546129112</v>
      </c>
      <c r="M846" s="4"/>
    </row>
    <row r="847" spans="1:13">
      <c r="A847" s="3">
        <v>45722</v>
      </c>
      <c r="B847" s="4" t="s">
        <v>8</v>
      </c>
      <c r="C847" s="4" t="s">
        <v>28</v>
      </c>
      <c r="D847" s="4" t="s">
        <v>32</v>
      </c>
      <c r="E847" s="4">
        <v>7</v>
      </c>
      <c r="F847" s="4">
        <v>44819</v>
      </c>
      <c r="G847" s="4">
        <v>313733</v>
      </c>
      <c r="H847" s="4">
        <v>108075</v>
      </c>
      <c r="I847" s="4"/>
      <c r="J847" s="4"/>
      <c r="K847" s="4"/>
      <c r="L847" s="6">
        <f t="shared" si="13"/>
        <v>2.90291926902614</v>
      </c>
      <c r="M847" s="4"/>
    </row>
    <row r="848" spans="1:13">
      <c r="A848" s="3">
        <v>45662</v>
      </c>
      <c r="B848" s="4" t="s">
        <v>6</v>
      </c>
      <c r="C848" s="4" t="s">
        <v>28</v>
      </c>
      <c r="D848" s="4" t="s">
        <v>32</v>
      </c>
      <c r="E848" s="4">
        <v>5</v>
      </c>
      <c r="F848" s="4">
        <v>42484</v>
      </c>
      <c r="G848" s="4">
        <v>212420</v>
      </c>
      <c r="H848" s="4">
        <v>37312</v>
      </c>
      <c r="I848" s="4"/>
      <c r="J848" s="4"/>
      <c r="K848" s="4"/>
      <c r="L848" s="6">
        <f t="shared" si="13"/>
        <v>5.69307461406518</v>
      </c>
      <c r="M848" s="4"/>
    </row>
    <row r="849" spans="1:13">
      <c r="A849" s="3">
        <v>45660</v>
      </c>
      <c r="B849" s="4" t="s">
        <v>3</v>
      </c>
      <c r="C849" s="4" t="s">
        <v>28</v>
      </c>
      <c r="D849" s="4" t="s">
        <v>30</v>
      </c>
      <c r="E849" s="4">
        <v>9</v>
      </c>
      <c r="F849" s="4">
        <v>44428</v>
      </c>
      <c r="G849" s="4">
        <v>399852</v>
      </c>
      <c r="H849" s="4">
        <v>37820</v>
      </c>
      <c r="I849" s="4"/>
      <c r="J849" s="4"/>
      <c r="K849" s="4"/>
      <c r="L849" s="6">
        <f t="shared" si="13"/>
        <v>10.5725013220518</v>
      </c>
      <c r="M849" s="4"/>
    </row>
    <row r="850" spans="1:13">
      <c r="A850" s="3">
        <v>45707</v>
      </c>
      <c r="B850" s="4" t="s">
        <v>4</v>
      </c>
      <c r="C850" s="4" t="s">
        <v>22</v>
      </c>
      <c r="D850" s="4" t="s">
        <v>29</v>
      </c>
      <c r="E850" s="4">
        <v>6</v>
      </c>
      <c r="F850" s="4">
        <v>26452</v>
      </c>
      <c r="G850" s="4">
        <v>158712</v>
      </c>
      <c r="H850" s="4">
        <v>16873</v>
      </c>
      <c r="I850" s="4"/>
      <c r="J850" s="4"/>
      <c r="K850" s="4"/>
      <c r="L850" s="6">
        <f t="shared" si="13"/>
        <v>9.40627037278492</v>
      </c>
      <c r="M850" s="4"/>
    </row>
    <row r="851" spans="1:13">
      <c r="A851" s="3">
        <v>45766</v>
      </c>
      <c r="B851" s="4" t="s">
        <v>2</v>
      </c>
      <c r="C851" s="4" t="s">
        <v>22</v>
      </c>
      <c r="D851" s="4" t="s">
        <v>31</v>
      </c>
      <c r="E851" s="4">
        <v>10</v>
      </c>
      <c r="F851" s="4">
        <v>12998</v>
      </c>
      <c r="G851" s="4">
        <v>129980</v>
      </c>
      <c r="H851" s="4">
        <v>134539</v>
      </c>
      <c r="I851" s="4"/>
      <c r="J851" s="4"/>
      <c r="K851" s="4"/>
      <c r="L851" s="6">
        <f t="shared" si="13"/>
        <v>0.966113914924297</v>
      </c>
      <c r="M851" s="4"/>
    </row>
    <row r="852" spans="1:13">
      <c r="A852" s="3">
        <v>45698</v>
      </c>
      <c r="B852" s="4" t="s">
        <v>8</v>
      </c>
      <c r="C852" s="4" t="s">
        <v>22</v>
      </c>
      <c r="D852" s="4" t="s">
        <v>32</v>
      </c>
      <c r="E852" s="4">
        <v>4</v>
      </c>
      <c r="F852" s="4">
        <v>21936</v>
      </c>
      <c r="G852" s="4">
        <v>87744</v>
      </c>
      <c r="H852" s="4">
        <v>115648</v>
      </c>
      <c r="I852" s="4"/>
      <c r="J852" s="4"/>
      <c r="K852" s="4"/>
      <c r="L852" s="6">
        <f t="shared" si="13"/>
        <v>0.758716104039845</v>
      </c>
      <c r="M852" s="4"/>
    </row>
    <row r="853" spans="1:13">
      <c r="A853" s="3">
        <v>45730</v>
      </c>
      <c r="B853" s="4" t="s">
        <v>6</v>
      </c>
      <c r="C853" s="4" t="s">
        <v>26</v>
      </c>
      <c r="D853" s="4" t="s">
        <v>23</v>
      </c>
      <c r="E853" s="4">
        <v>8</v>
      </c>
      <c r="F853" s="4">
        <v>14402</v>
      </c>
      <c r="G853" s="4">
        <v>115216</v>
      </c>
      <c r="H853" s="4">
        <v>29550</v>
      </c>
      <c r="I853" s="4"/>
      <c r="J853" s="4"/>
      <c r="K853" s="4"/>
      <c r="L853" s="6">
        <f t="shared" si="13"/>
        <v>3.89901861252115</v>
      </c>
      <c r="M853" s="4"/>
    </row>
    <row r="854" spans="1:13">
      <c r="A854" s="3">
        <v>45783</v>
      </c>
      <c r="B854" s="4" t="s">
        <v>8</v>
      </c>
      <c r="C854" s="4" t="s">
        <v>24</v>
      </c>
      <c r="D854" s="4" t="s">
        <v>31</v>
      </c>
      <c r="E854" s="4">
        <v>10</v>
      </c>
      <c r="F854" s="4">
        <v>17141</v>
      </c>
      <c r="G854" s="4">
        <v>171410</v>
      </c>
      <c r="H854" s="4">
        <v>43426</v>
      </c>
      <c r="I854" s="4"/>
      <c r="J854" s="4"/>
      <c r="K854" s="4"/>
      <c r="L854" s="6">
        <f t="shared" si="13"/>
        <v>3.94717450375351</v>
      </c>
      <c r="M854" s="4"/>
    </row>
    <row r="855" spans="1:13">
      <c r="A855" s="3">
        <v>45741</v>
      </c>
      <c r="B855" s="4" t="s">
        <v>4</v>
      </c>
      <c r="C855" s="4" t="s">
        <v>26</v>
      </c>
      <c r="D855" s="4" t="s">
        <v>29</v>
      </c>
      <c r="E855" s="4">
        <v>9</v>
      </c>
      <c r="F855" s="4">
        <v>42401</v>
      </c>
      <c r="G855" s="4">
        <v>381609</v>
      </c>
      <c r="H855" s="4">
        <v>199973</v>
      </c>
      <c r="I855" s="4"/>
      <c r="J855" s="4"/>
      <c r="K855" s="4"/>
      <c r="L855" s="6">
        <f t="shared" si="13"/>
        <v>1.90830262085382</v>
      </c>
      <c r="M855" s="4"/>
    </row>
    <row r="856" spans="1:13">
      <c r="A856" s="3">
        <v>45790</v>
      </c>
      <c r="B856" s="4" t="s">
        <v>2</v>
      </c>
      <c r="C856" s="4" t="s">
        <v>22</v>
      </c>
      <c r="D856" s="4" t="s">
        <v>31</v>
      </c>
      <c r="E856" s="4">
        <v>3</v>
      </c>
      <c r="F856" s="4">
        <v>46781</v>
      </c>
      <c r="G856" s="4">
        <v>140343</v>
      </c>
      <c r="H856" s="4">
        <v>185914</v>
      </c>
      <c r="I856" s="4"/>
      <c r="J856" s="4"/>
      <c r="K856" s="4"/>
      <c r="L856" s="6">
        <f t="shared" si="13"/>
        <v>0.754881289198231</v>
      </c>
      <c r="M856" s="4"/>
    </row>
    <row r="857" spans="1:13">
      <c r="A857" s="3">
        <v>45786</v>
      </c>
      <c r="B857" s="4" t="s">
        <v>2</v>
      </c>
      <c r="C857" s="4" t="s">
        <v>22</v>
      </c>
      <c r="D857" s="4" t="s">
        <v>25</v>
      </c>
      <c r="E857" s="4">
        <v>9</v>
      </c>
      <c r="F857" s="4">
        <v>19355</v>
      </c>
      <c r="G857" s="4">
        <v>174195</v>
      </c>
      <c r="H857" s="4">
        <v>179177</v>
      </c>
      <c r="I857" s="4"/>
      <c r="J857" s="4"/>
      <c r="K857" s="4"/>
      <c r="L857" s="6">
        <f t="shared" si="13"/>
        <v>0.972195092003996</v>
      </c>
      <c r="M857" s="4"/>
    </row>
    <row r="858" spans="1:13">
      <c r="A858" s="3">
        <v>45799</v>
      </c>
      <c r="B858" s="4" t="s">
        <v>4</v>
      </c>
      <c r="C858" s="4" t="s">
        <v>22</v>
      </c>
      <c r="D858" s="4" t="s">
        <v>31</v>
      </c>
      <c r="E858" s="4">
        <v>8</v>
      </c>
      <c r="F858" s="4">
        <v>30707</v>
      </c>
      <c r="G858" s="4">
        <v>245656</v>
      </c>
      <c r="H858" s="4">
        <v>147676</v>
      </c>
      <c r="I858" s="4"/>
      <c r="J858" s="4"/>
      <c r="K858" s="4"/>
      <c r="L858" s="6">
        <f t="shared" si="13"/>
        <v>1.66347950919581</v>
      </c>
      <c r="M858" s="4"/>
    </row>
    <row r="859" spans="1:13">
      <c r="A859" s="3">
        <v>45724</v>
      </c>
      <c r="B859" s="4" t="s">
        <v>2</v>
      </c>
      <c r="C859" s="4" t="s">
        <v>26</v>
      </c>
      <c r="D859" s="4" t="s">
        <v>30</v>
      </c>
      <c r="E859" s="4">
        <v>6</v>
      </c>
      <c r="F859" s="4">
        <v>33726</v>
      </c>
      <c r="G859" s="4">
        <v>202356</v>
      </c>
      <c r="H859" s="4">
        <v>89643</v>
      </c>
      <c r="I859" s="4"/>
      <c r="J859" s="4"/>
      <c r="K859" s="4"/>
      <c r="L859" s="6">
        <f t="shared" si="13"/>
        <v>2.25735417154714</v>
      </c>
      <c r="M859" s="4"/>
    </row>
    <row r="860" spans="1:13">
      <c r="A860" s="3">
        <v>45826</v>
      </c>
      <c r="B860" s="4" t="s">
        <v>6</v>
      </c>
      <c r="C860" s="4" t="s">
        <v>28</v>
      </c>
      <c r="D860" s="4" t="s">
        <v>27</v>
      </c>
      <c r="E860" s="4">
        <v>6</v>
      </c>
      <c r="F860" s="4">
        <v>15207</v>
      </c>
      <c r="G860" s="4">
        <v>91242</v>
      </c>
      <c r="H860" s="4">
        <v>73614</v>
      </c>
      <c r="I860" s="4"/>
      <c r="J860" s="4"/>
      <c r="K860" s="4"/>
      <c r="L860" s="6">
        <f t="shared" si="13"/>
        <v>1.23946531909691</v>
      </c>
      <c r="M860" s="4"/>
    </row>
    <row r="861" spans="1:13">
      <c r="A861" s="3">
        <v>45804</v>
      </c>
      <c r="B861" s="4" t="s">
        <v>3</v>
      </c>
      <c r="C861" s="4" t="s">
        <v>26</v>
      </c>
      <c r="D861" s="4" t="s">
        <v>32</v>
      </c>
      <c r="E861" s="4">
        <v>3</v>
      </c>
      <c r="F861" s="4">
        <v>37501</v>
      </c>
      <c r="G861" s="4">
        <v>112503</v>
      </c>
      <c r="H861" s="4">
        <v>38540</v>
      </c>
      <c r="I861" s="4"/>
      <c r="J861" s="4"/>
      <c r="K861" s="4"/>
      <c r="L861" s="6">
        <f t="shared" si="13"/>
        <v>2.91912298910223</v>
      </c>
      <c r="M861" s="4"/>
    </row>
    <row r="862" spans="1:13">
      <c r="A862" s="3">
        <v>45787</v>
      </c>
      <c r="B862" s="4" t="s">
        <v>4</v>
      </c>
      <c r="C862" s="4" t="s">
        <v>22</v>
      </c>
      <c r="D862" s="4" t="s">
        <v>25</v>
      </c>
      <c r="E862" s="4">
        <v>3</v>
      </c>
      <c r="F862" s="4">
        <v>13311</v>
      </c>
      <c r="G862" s="4">
        <v>39933</v>
      </c>
      <c r="H862" s="4">
        <v>125904</v>
      </c>
      <c r="I862" s="4"/>
      <c r="J862" s="4"/>
      <c r="K862" s="4"/>
      <c r="L862" s="6">
        <f t="shared" si="13"/>
        <v>0.317170224933283</v>
      </c>
      <c r="M862" s="4"/>
    </row>
    <row r="863" spans="1:13">
      <c r="A863" s="3">
        <v>45742</v>
      </c>
      <c r="B863" s="4" t="s">
        <v>8</v>
      </c>
      <c r="C863" s="4" t="s">
        <v>22</v>
      </c>
      <c r="D863" s="4" t="s">
        <v>25</v>
      </c>
      <c r="E863" s="4">
        <v>5</v>
      </c>
      <c r="F863" s="4">
        <v>35874</v>
      </c>
      <c r="G863" s="4">
        <v>179370</v>
      </c>
      <c r="H863" s="4">
        <v>111436</v>
      </c>
      <c r="I863" s="4"/>
      <c r="J863" s="4"/>
      <c r="K863" s="4"/>
      <c r="L863" s="6">
        <f t="shared" si="13"/>
        <v>1.60962346100004</v>
      </c>
      <c r="M863" s="4"/>
    </row>
    <row r="864" spans="1:13">
      <c r="A864" s="3">
        <v>45711</v>
      </c>
      <c r="B864" s="4" t="s">
        <v>2</v>
      </c>
      <c r="C864" s="4" t="s">
        <v>28</v>
      </c>
      <c r="D864" s="4" t="s">
        <v>23</v>
      </c>
      <c r="E864" s="4">
        <v>1</v>
      </c>
      <c r="F864" s="4">
        <v>32525</v>
      </c>
      <c r="G864" s="4">
        <v>32525</v>
      </c>
      <c r="H864" s="4">
        <v>175855</v>
      </c>
      <c r="I864" s="4"/>
      <c r="J864" s="4"/>
      <c r="K864" s="4"/>
      <c r="L864" s="6">
        <f t="shared" si="13"/>
        <v>0.184953512837281</v>
      </c>
      <c r="M864" s="4"/>
    </row>
    <row r="865" spans="1:13">
      <c r="A865" s="3">
        <v>45728</v>
      </c>
      <c r="B865" s="4" t="s">
        <v>2</v>
      </c>
      <c r="C865" s="4" t="s">
        <v>26</v>
      </c>
      <c r="D865" s="4" t="s">
        <v>23</v>
      </c>
      <c r="E865" s="4">
        <v>5</v>
      </c>
      <c r="F865" s="4">
        <v>47032</v>
      </c>
      <c r="G865" s="4">
        <v>235160</v>
      </c>
      <c r="H865" s="4">
        <v>132752</v>
      </c>
      <c r="I865" s="4"/>
      <c r="J865" s="4"/>
      <c r="K865" s="4"/>
      <c r="L865" s="6">
        <f t="shared" si="13"/>
        <v>1.77142340605038</v>
      </c>
      <c r="M865" s="4"/>
    </row>
    <row r="866" spans="1:13">
      <c r="A866" s="3">
        <v>45701</v>
      </c>
      <c r="B866" s="4" t="s">
        <v>3</v>
      </c>
      <c r="C866" s="4" t="s">
        <v>26</v>
      </c>
      <c r="D866" s="4" t="s">
        <v>27</v>
      </c>
      <c r="E866" s="4">
        <v>8</v>
      </c>
      <c r="F866" s="4">
        <v>25320</v>
      </c>
      <c r="G866" s="4">
        <v>202560</v>
      </c>
      <c r="H866" s="4">
        <v>123315</v>
      </c>
      <c r="I866" s="4"/>
      <c r="J866" s="4"/>
      <c r="K866" s="4"/>
      <c r="L866" s="6">
        <f t="shared" si="13"/>
        <v>1.64262255200097</v>
      </c>
      <c r="M866" s="4"/>
    </row>
    <row r="867" spans="1:13">
      <c r="A867" s="3">
        <v>45755</v>
      </c>
      <c r="B867" s="4" t="s">
        <v>4</v>
      </c>
      <c r="C867" s="4" t="s">
        <v>22</v>
      </c>
      <c r="D867" s="4" t="s">
        <v>29</v>
      </c>
      <c r="E867" s="4">
        <v>10</v>
      </c>
      <c r="F867" s="4">
        <v>22155</v>
      </c>
      <c r="G867" s="4">
        <v>221550</v>
      </c>
      <c r="H867" s="4">
        <v>30486</v>
      </c>
      <c r="I867" s="4"/>
      <c r="J867" s="4"/>
      <c r="K867" s="4"/>
      <c r="L867" s="6">
        <f t="shared" si="13"/>
        <v>7.26727022239717</v>
      </c>
      <c r="M867" s="4"/>
    </row>
    <row r="868" spans="1:13">
      <c r="A868" s="3">
        <v>45825</v>
      </c>
      <c r="B868" s="4" t="s">
        <v>7</v>
      </c>
      <c r="C868" s="4" t="s">
        <v>24</v>
      </c>
      <c r="D868" s="4" t="s">
        <v>27</v>
      </c>
      <c r="E868" s="4">
        <v>8</v>
      </c>
      <c r="F868" s="4">
        <v>35039</v>
      </c>
      <c r="G868" s="4">
        <v>280312</v>
      </c>
      <c r="H868" s="4">
        <v>162903</v>
      </c>
      <c r="I868" s="4"/>
      <c r="J868" s="4"/>
      <c r="K868" s="4"/>
      <c r="L868" s="6">
        <f t="shared" si="13"/>
        <v>1.72072951388249</v>
      </c>
      <c r="M868" s="4"/>
    </row>
    <row r="869" spans="1:13">
      <c r="A869" s="3">
        <v>45747</v>
      </c>
      <c r="B869" s="4" t="s">
        <v>4</v>
      </c>
      <c r="C869" s="4" t="s">
        <v>26</v>
      </c>
      <c r="D869" s="4" t="s">
        <v>32</v>
      </c>
      <c r="E869" s="4">
        <v>1</v>
      </c>
      <c r="F869" s="4">
        <v>1739</v>
      </c>
      <c r="G869" s="4">
        <v>1739</v>
      </c>
      <c r="H869" s="4">
        <v>180933</v>
      </c>
      <c r="I869" s="4"/>
      <c r="J869" s="4"/>
      <c r="K869" s="4"/>
      <c r="L869" s="6">
        <f t="shared" si="13"/>
        <v>0.00961129257791558</v>
      </c>
      <c r="M869" s="4"/>
    </row>
    <row r="870" spans="1:13">
      <c r="A870" s="3">
        <v>45810</v>
      </c>
      <c r="B870" s="4" t="s">
        <v>4</v>
      </c>
      <c r="C870" s="4" t="s">
        <v>28</v>
      </c>
      <c r="D870" s="4" t="s">
        <v>31</v>
      </c>
      <c r="E870" s="4">
        <v>5</v>
      </c>
      <c r="F870" s="4">
        <v>33381</v>
      </c>
      <c r="G870" s="4">
        <v>166905</v>
      </c>
      <c r="H870" s="4">
        <v>101436</v>
      </c>
      <c r="I870" s="4"/>
      <c r="J870" s="4"/>
      <c r="K870" s="4"/>
      <c r="L870" s="6">
        <f t="shared" si="13"/>
        <v>1.64542174375961</v>
      </c>
      <c r="M870" s="4"/>
    </row>
    <row r="871" spans="1:13">
      <c r="A871" s="3">
        <v>45763</v>
      </c>
      <c r="B871" s="4" t="s">
        <v>6</v>
      </c>
      <c r="C871" s="4" t="s">
        <v>24</v>
      </c>
      <c r="D871" s="4" t="s">
        <v>27</v>
      </c>
      <c r="E871" s="4">
        <v>6</v>
      </c>
      <c r="F871" s="4">
        <v>34458</v>
      </c>
      <c r="G871" s="4">
        <v>206748</v>
      </c>
      <c r="H871" s="4">
        <v>50310</v>
      </c>
      <c r="I871" s="4"/>
      <c r="J871" s="4"/>
      <c r="K871" s="4"/>
      <c r="L871" s="6">
        <f t="shared" si="13"/>
        <v>4.10948121645796</v>
      </c>
      <c r="M871" s="4"/>
    </row>
    <row r="872" spans="1:13">
      <c r="A872" s="3">
        <v>45748</v>
      </c>
      <c r="B872" s="4" t="s">
        <v>3</v>
      </c>
      <c r="C872" s="4" t="s">
        <v>24</v>
      </c>
      <c r="D872" s="4" t="s">
        <v>32</v>
      </c>
      <c r="E872" s="4">
        <v>10</v>
      </c>
      <c r="F872" s="4">
        <v>32487</v>
      </c>
      <c r="G872" s="4">
        <v>324870</v>
      </c>
      <c r="H872" s="4">
        <v>137148</v>
      </c>
      <c r="I872" s="4"/>
      <c r="J872" s="4"/>
      <c r="K872" s="4"/>
      <c r="L872" s="6">
        <f t="shared" si="13"/>
        <v>2.36875492169044</v>
      </c>
      <c r="M872" s="4"/>
    </row>
    <row r="873" spans="1:13">
      <c r="A873" s="3">
        <v>45802</v>
      </c>
      <c r="B873" s="4" t="s">
        <v>5</v>
      </c>
      <c r="C873" s="4" t="s">
        <v>28</v>
      </c>
      <c r="D873" s="4" t="s">
        <v>32</v>
      </c>
      <c r="E873" s="4">
        <v>7</v>
      </c>
      <c r="F873" s="4">
        <v>26140</v>
      </c>
      <c r="G873" s="4">
        <v>182980</v>
      </c>
      <c r="H873" s="4">
        <v>171977</v>
      </c>
      <c r="I873" s="4"/>
      <c r="J873" s="4"/>
      <c r="K873" s="4"/>
      <c r="L873" s="6">
        <f t="shared" si="13"/>
        <v>1.06397948562889</v>
      </c>
      <c r="M873" s="4"/>
    </row>
    <row r="874" spans="1:13">
      <c r="A874" s="3">
        <v>45704</v>
      </c>
      <c r="B874" s="4" t="s">
        <v>5</v>
      </c>
      <c r="C874" s="4" t="s">
        <v>22</v>
      </c>
      <c r="D874" s="4" t="s">
        <v>29</v>
      </c>
      <c r="E874" s="4">
        <v>10</v>
      </c>
      <c r="F874" s="4">
        <v>43697</v>
      </c>
      <c r="G874" s="4">
        <v>436970</v>
      </c>
      <c r="H874" s="4">
        <v>34471</v>
      </c>
      <c r="I874" s="4"/>
      <c r="J874" s="4"/>
      <c r="K874" s="4"/>
      <c r="L874" s="6">
        <f t="shared" si="13"/>
        <v>12.6764526703606</v>
      </c>
      <c r="M874" s="4"/>
    </row>
    <row r="875" spans="1:13">
      <c r="A875" s="3">
        <v>45808</v>
      </c>
      <c r="B875" s="4" t="s">
        <v>4</v>
      </c>
      <c r="C875" s="4" t="s">
        <v>26</v>
      </c>
      <c r="D875" s="4" t="s">
        <v>29</v>
      </c>
      <c r="E875" s="4">
        <v>8</v>
      </c>
      <c r="F875" s="4">
        <v>27413</v>
      </c>
      <c r="G875" s="4">
        <v>219304</v>
      </c>
      <c r="H875" s="4">
        <v>32890</v>
      </c>
      <c r="I875" s="4"/>
      <c r="J875" s="4"/>
      <c r="K875" s="4"/>
      <c r="L875" s="6">
        <f t="shared" si="13"/>
        <v>6.66780176345394</v>
      </c>
      <c r="M875" s="4"/>
    </row>
    <row r="876" spans="1:13">
      <c r="A876" s="3">
        <v>45757</v>
      </c>
      <c r="B876" s="4" t="s">
        <v>3</v>
      </c>
      <c r="C876" s="4" t="s">
        <v>22</v>
      </c>
      <c r="D876" s="4" t="s">
        <v>25</v>
      </c>
      <c r="E876" s="4">
        <v>3</v>
      </c>
      <c r="F876" s="4">
        <v>42222</v>
      </c>
      <c r="G876" s="4">
        <v>126666</v>
      </c>
      <c r="H876" s="4">
        <v>34682</v>
      </c>
      <c r="I876" s="4"/>
      <c r="J876" s="4"/>
      <c r="K876" s="4"/>
      <c r="L876" s="6">
        <f t="shared" si="13"/>
        <v>3.65221152182688</v>
      </c>
      <c r="M876" s="4"/>
    </row>
    <row r="877" spans="1:13">
      <c r="A877" s="3">
        <v>45782</v>
      </c>
      <c r="B877" s="4" t="s">
        <v>4</v>
      </c>
      <c r="C877" s="4" t="s">
        <v>28</v>
      </c>
      <c r="D877" s="4" t="s">
        <v>33</v>
      </c>
      <c r="E877" s="4">
        <v>1</v>
      </c>
      <c r="F877" s="4">
        <v>44138</v>
      </c>
      <c r="G877" s="4">
        <v>44138</v>
      </c>
      <c r="H877" s="4">
        <v>18663</v>
      </c>
      <c r="I877" s="4"/>
      <c r="J877" s="4"/>
      <c r="K877" s="4"/>
      <c r="L877" s="6">
        <f t="shared" si="13"/>
        <v>2.36500026790977</v>
      </c>
      <c r="M877" s="4"/>
    </row>
    <row r="878" spans="1:13">
      <c r="A878" s="3">
        <v>45753</v>
      </c>
      <c r="B878" s="4" t="s">
        <v>7</v>
      </c>
      <c r="C878" s="4" t="s">
        <v>24</v>
      </c>
      <c r="D878" s="4" t="s">
        <v>33</v>
      </c>
      <c r="E878" s="4">
        <v>8</v>
      </c>
      <c r="F878" s="4">
        <v>45746</v>
      </c>
      <c r="G878" s="4">
        <v>365968</v>
      </c>
      <c r="H878" s="4">
        <v>46804</v>
      </c>
      <c r="I878" s="4"/>
      <c r="J878" s="4"/>
      <c r="K878" s="4"/>
      <c r="L878" s="6">
        <f t="shared" si="13"/>
        <v>7.81916075549098</v>
      </c>
      <c r="M878" s="4"/>
    </row>
    <row r="879" spans="1:13">
      <c r="A879" s="3">
        <v>45721</v>
      </c>
      <c r="B879" s="4" t="s">
        <v>5</v>
      </c>
      <c r="C879" s="4" t="s">
        <v>24</v>
      </c>
      <c r="D879" s="4" t="s">
        <v>23</v>
      </c>
      <c r="E879" s="4">
        <v>6</v>
      </c>
      <c r="F879" s="4">
        <v>42941</v>
      </c>
      <c r="G879" s="4">
        <v>257646</v>
      </c>
      <c r="H879" s="4">
        <v>134698</v>
      </c>
      <c r="I879" s="4"/>
      <c r="J879" s="4"/>
      <c r="K879" s="4"/>
      <c r="L879" s="6">
        <f t="shared" si="13"/>
        <v>1.9127678213485</v>
      </c>
      <c r="M879" s="4"/>
    </row>
    <row r="880" spans="1:13">
      <c r="A880" s="3">
        <v>45737</v>
      </c>
      <c r="B880" s="4" t="s">
        <v>5</v>
      </c>
      <c r="C880" s="4" t="s">
        <v>24</v>
      </c>
      <c r="D880" s="4" t="s">
        <v>30</v>
      </c>
      <c r="E880" s="4">
        <v>1</v>
      </c>
      <c r="F880" s="4">
        <v>15072</v>
      </c>
      <c r="G880" s="4">
        <v>15072</v>
      </c>
      <c r="H880" s="4">
        <v>111775</v>
      </c>
      <c r="I880" s="4"/>
      <c r="J880" s="4"/>
      <c r="K880" s="4"/>
      <c r="L880" s="6">
        <f t="shared" si="13"/>
        <v>0.134842317154999</v>
      </c>
      <c r="M880" s="4"/>
    </row>
    <row r="881" spans="1:13">
      <c r="A881" s="3">
        <v>45764</v>
      </c>
      <c r="B881" s="4" t="s">
        <v>4</v>
      </c>
      <c r="C881" s="4" t="s">
        <v>24</v>
      </c>
      <c r="D881" s="4" t="s">
        <v>32</v>
      </c>
      <c r="E881" s="4">
        <v>6</v>
      </c>
      <c r="F881" s="4">
        <v>38426</v>
      </c>
      <c r="G881" s="4">
        <v>230556</v>
      </c>
      <c r="H881" s="4">
        <v>89099</v>
      </c>
      <c r="I881" s="4"/>
      <c r="J881" s="4"/>
      <c r="K881" s="4"/>
      <c r="L881" s="6">
        <f t="shared" si="13"/>
        <v>2.58763846956756</v>
      </c>
      <c r="M881" s="4"/>
    </row>
    <row r="882" spans="1:13">
      <c r="A882" s="3">
        <v>45802</v>
      </c>
      <c r="B882" s="4" t="s">
        <v>3</v>
      </c>
      <c r="C882" s="4" t="s">
        <v>26</v>
      </c>
      <c r="D882" s="4" t="s">
        <v>32</v>
      </c>
      <c r="E882" s="4">
        <v>1</v>
      </c>
      <c r="F882" s="4">
        <v>22266</v>
      </c>
      <c r="G882" s="4">
        <v>22266</v>
      </c>
      <c r="H882" s="4">
        <v>13744</v>
      </c>
      <c r="I882" s="4"/>
      <c r="J882" s="4"/>
      <c r="K882" s="4"/>
      <c r="L882" s="6">
        <f t="shared" si="13"/>
        <v>1.62005238649593</v>
      </c>
      <c r="M882" s="4"/>
    </row>
    <row r="883" spans="1:13">
      <c r="A883" s="3">
        <v>45662</v>
      </c>
      <c r="B883" s="4" t="s">
        <v>2</v>
      </c>
      <c r="C883" s="4" t="s">
        <v>26</v>
      </c>
      <c r="D883" s="4" t="s">
        <v>30</v>
      </c>
      <c r="E883" s="4">
        <v>9</v>
      </c>
      <c r="F883" s="4">
        <v>3842</v>
      </c>
      <c r="G883" s="4">
        <v>34578</v>
      </c>
      <c r="H883" s="4">
        <v>49792</v>
      </c>
      <c r="I883" s="4"/>
      <c r="J883" s="4"/>
      <c r="K883" s="4"/>
      <c r="L883" s="6">
        <f t="shared" si="13"/>
        <v>0.694448907455013</v>
      </c>
      <c r="M883" s="4"/>
    </row>
    <row r="884" spans="1:13">
      <c r="A884" s="3">
        <v>45667</v>
      </c>
      <c r="B884" s="4" t="s">
        <v>3</v>
      </c>
      <c r="C884" s="4" t="s">
        <v>22</v>
      </c>
      <c r="D884" s="4" t="s">
        <v>32</v>
      </c>
      <c r="E884" s="4">
        <v>1</v>
      </c>
      <c r="F884" s="4">
        <v>29327</v>
      </c>
      <c r="G884" s="4">
        <v>29327</v>
      </c>
      <c r="H884" s="4">
        <v>55939</v>
      </c>
      <c r="I884" s="4"/>
      <c r="J884" s="4"/>
      <c r="K884" s="4"/>
      <c r="L884" s="6">
        <f t="shared" si="13"/>
        <v>0.524267505675825</v>
      </c>
      <c r="M884" s="4"/>
    </row>
    <row r="885" spans="1:13">
      <c r="A885" s="3">
        <v>45830</v>
      </c>
      <c r="B885" s="4" t="s">
        <v>3</v>
      </c>
      <c r="C885" s="4" t="s">
        <v>28</v>
      </c>
      <c r="D885" s="4" t="s">
        <v>23</v>
      </c>
      <c r="E885" s="4">
        <v>6</v>
      </c>
      <c r="F885" s="4">
        <v>35651</v>
      </c>
      <c r="G885" s="4">
        <v>213906</v>
      </c>
      <c r="H885" s="4">
        <v>42271</v>
      </c>
      <c r="I885" s="4"/>
      <c r="J885" s="4"/>
      <c r="K885" s="4"/>
      <c r="L885" s="6">
        <f t="shared" si="13"/>
        <v>5.0603487024201</v>
      </c>
      <c r="M885" s="4"/>
    </row>
    <row r="886" spans="1:13">
      <c r="A886" s="3">
        <v>45820</v>
      </c>
      <c r="B886" s="4" t="s">
        <v>6</v>
      </c>
      <c r="C886" s="4" t="s">
        <v>24</v>
      </c>
      <c r="D886" s="4" t="s">
        <v>33</v>
      </c>
      <c r="E886" s="4">
        <v>7</v>
      </c>
      <c r="F886" s="4">
        <v>1029</v>
      </c>
      <c r="G886" s="4">
        <v>7203</v>
      </c>
      <c r="H886" s="4">
        <v>181096</v>
      </c>
      <c r="I886" s="4"/>
      <c r="J886" s="4"/>
      <c r="K886" s="4"/>
      <c r="L886" s="6">
        <f t="shared" si="13"/>
        <v>0.0397744842514467</v>
      </c>
      <c r="M886" s="4"/>
    </row>
    <row r="887" spans="1:13">
      <c r="A887" s="3">
        <v>45761</v>
      </c>
      <c r="B887" s="4" t="s">
        <v>6</v>
      </c>
      <c r="C887" s="4" t="s">
        <v>24</v>
      </c>
      <c r="D887" s="4" t="s">
        <v>27</v>
      </c>
      <c r="E887" s="4">
        <v>4</v>
      </c>
      <c r="F887" s="4">
        <v>14670</v>
      </c>
      <c r="G887" s="4">
        <v>58680</v>
      </c>
      <c r="H887" s="4">
        <v>66781</v>
      </c>
      <c r="I887" s="4"/>
      <c r="J887" s="4"/>
      <c r="K887" s="4"/>
      <c r="L887" s="6">
        <f t="shared" si="13"/>
        <v>0.878693041433941</v>
      </c>
      <c r="M887" s="4"/>
    </row>
    <row r="888" spans="1:13">
      <c r="A888" s="3">
        <v>45808</v>
      </c>
      <c r="B888" s="4" t="s">
        <v>8</v>
      </c>
      <c r="C888" s="4" t="s">
        <v>22</v>
      </c>
      <c r="D888" s="4" t="s">
        <v>27</v>
      </c>
      <c r="E888" s="4">
        <v>10</v>
      </c>
      <c r="F888" s="4">
        <v>25855</v>
      </c>
      <c r="G888" s="4">
        <v>258550</v>
      </c>
      <c r="H888" s="4">
        <v>126999</v>
      </c>
      <c r="I888" s="4"/>
      <c r="J888" s="4"/>
      <c r="K888" s="4"/>
      <c r="L888" s="6">
        <f t="shared" si="13"/>
        <v>2.03584280191183</v>
      </c>
      <c r="M888" s="4"/>
    </row>
    <row r="889" spans="1:13">
      <c r="A889" s="3">
        <v>45686</v>
      </c>
      <c r="B889" s="4" t="s">
        <v>2</v>
      </c>
      <c r="C889" s="4" t="s">
        <v>22</v>
      </c>
      <c r="D889" s="4" t="s">
        <v>31</v>
      </c>
      <c r="E889" s="4">
        <v>1</v>
      </c>
      <c r="F889" s="4">
        <v>31309</v>
      </c>
      <c r="G889" s="4">
        <v>31309</v>
      </c>
      <c r="H889" s="4">
        <v>112002</v>
      </c>
      <c r="I889" s="4"/>
      <c r="J889" s="4"/>
      <c r="K889" s="4"/>
      <c r="L889" s="6">
        <f t="shared" si="13"/>
        <v>0.279539651077659</v>
      </c>
      <c r="M889" s="4"/>
    </row>
    <row r="890" spans="1:13">
      <c r="A890" s="3">
        <v>45748</v>
      </c>
      <c r="B890" s="4" t="s">
        <v>6</v>
      </c>
      <c r="C890" s="4" t="s">
        <v>22</v>
      </c>
      <c r="D890" s="4" t="s">
        <v>31</v>
      </c>
      <c r="E890" s="4">
        <v>4</v>
      </c>
      <c r="F890" s="4">
        <v>42967</v>
      </c>
      <c r="G890" s="4">
        <v>171868</v>
      </c>
      <c r="H890" s="4">
        <v>195455</v>
      </c>
      <c r="I890" s="4"/>
      <c r="J890" s="4"/>
      <c r="K890" s="4"/>
      <c r="L890" s="6">
        <f t="shared" si="13"/>
        <v>0.879322606226497</v>
      </c>
      <c r="M890" s="4"/>
    </row>
    <row r="891" spans="1:13">
      <c r="A891" s="3">
        <v>45743</v>
      </c>
      <c r="B891" s="4" t="s">
        <v>8</v>
      </c>
      <c r="C891" s="4" t="s">
        <v>24</v>
      </c>
      <c r="D891" s="4" t="s">
        <v>23</v>
      </c>
      <c r="E891" s="4">
        <v>4</v>
      </c>
      <c r="F891" s="4">
        <v>34640</v>
      </c>
      <c r="G891" s="4">
        <v>138560</v>
      </c>
      <c r="H891" s="4">
        <v>191683</v>
      </c>
      <c r="I891" s="4"/>
      <c r="J891" s="4"/>
      <c r="K891" s="4"/>
      <c r="L891" s="6">
        <f t="shared" si="13"/>
        <v>0.722860138875122</v>
      </c>
      <c r="M891" s="4"/>
    </row>
    <row r="892" spans="1:13">
      <c r="A892" s="3">
        <v>45806</v>
      </c>
      <c r="B892" s="4" t="s">
        <v>3</v>
      </c>
      <c r="C892" s="4" t="s">
        <v>24</v>
      </c>
      <c r="D892" s="4" t="s">
        <v>30</v>
      </c>
      <c r="E892" s="4">
        <v>5</v>
      </c>
      <c r="F892" s="4">
        <v>7877</v>
      </c>
      <c r="G892" s="4">
        <v>39385</v>
      </c>
      <c r="H892" s="4">
        <v>83693</v>
      </c>
      <c r="I892" s="4"/>
      <c r="J892" s="4"/>
      <c r="K892" s="4"/>
      <c r="L892" s="6">
        <f t="shared" si="13"/>
        <v>0.470588938142975</v>
      </c>
      <c r="M892" s="4"/>
    </row>
    <row r="893" spans="1:13">
      <c r="A893" s="3">
        <v>45779</v>
      </c>
      <c r="B893" s="4" t="s">
        <v>4</v>
      </c>
      <c r="C893" s="4" t="s">
        <v>26</v>
      </c>
      <c r="D893" s="4" t="s">
        <v>27</v>
      </c>
      <c r="E893" s="4">
        <v>4</v>
      </c>
      <c r="F893" s="4">
        <v>19179</v>
      </c>
      <c r="G893" s="4">
        <v>76716</v>
      </c>
      <c r="H893" s="4">
        <v>198408</v>
      </c>
      <c r="I893" s="4"/>
      <c r="J893" s="4"/>
      <c r="K893" s="4"/>
      <c r="L893" s="6">
        <f t="shared" si="13"/>
        <v>0.386657796056611</v>
      </c>
      <c r="M893" s="4"/>
    </row>
    <row r="894" spans="1:13">
      <c r="A894" s="3">
        <v>45748</v>
      </c>
      <c r="B894" s="4" t="s">
        <v>7</v>
      </c>
      <c r="C894" s="4" t="s">
        <v>24</v>
      </c>
      <c r="D894" s="4" t="s">
        <v>23</v>
      </c>
      <c r="E894" s="4">
        <v>1</v>
      </c>
      <c r="F894" s="4">
        <v>8381</v>
      </c>
      <c r="G894" s="4">
        <v>8381</v>
      </c>
      <c r="H894" s="4">
        <v>157549</v>
      </c>
      <c r="I894" s="4"/>
      <c r="J894" s="4"/>
      <c r="K894" s="4"/>
      <c r="L894" s="6">
        <f t="shared" si="13"/>
        <v>0.0531961484998318</v>
      </c>
      <c r="M894" s="4"/>
    </row>
    <row r="895" spans="1:13">
      <c r="A895" s="3">
        <v>45818</v>
      </c>
      <c r="B895" s="4" t="s">
        <v>3</v>
      </c>
      <c r="C895" s="4" t="s">
        <v>28</v>
      </c>
      <c r="D895" s="4" t="s">
        <v>31</v>
      </c>
      <c r="E895" s="4">
        <v>10</v>
      </c>
      <c r="F895" s="4">
        <v>32424</v>
      </c>
      <c r="G895" s="4">
        <v>324240</v>
      </c>
      <c r="H895" s="4">
        <v>26545</v>
      </c>
      <c r="I895" s="4"/>
      <c r="J895" s="4"/>
      <c r="K895" s="4"/>
      <c r="L895" s="6">
        <f t="shared" si="13"/>
        <v>12.2147297042758</v>
      </c>
      <c r="M895" s="4"/>
    </row>
    <row r="896" spans="1:13">
      <c r="A896" s="3">
        <v>45735</v>
      </c>
      <c r="B896" s="4" t="s">
        <v>2</v>
      </c>
      <c r="C896" s="4" t="s">
        <v>26</v>
      </c>
      <c r="D896" s="4" t="s">
        <v>33</v>
      </c>
      <c r="E896" s="4">
        <v>4</v>
      </c>
      <c r="F896" s="4">
        <v>20236</v>
      </c>
      <c r="G896" s="4">
        <v>80944</v>
      </c>
      <c r="H896" s="4">
        <v>162499</v>
      </c>
      <c r="I896" s="4"/>
      <c r="J896" s="4"/>
      <c r="K896" s="4"/>
      <c r="L896" s="6">
        <f t="shared" si="13"/>
        <v>0.498119988430698</v>
      </c>
      <c r="M896" s="4"/>
    </row>
    <row r="897" spans="1:13">
      <c r="A897" s="3">
        <v>45827</v>
      </c>
      <c r="B897" s="4" t="s">
        <v>3</v>
      </c>
      <c r="C897" s="4" t="s">
        <v>28</v>
      </c>
      <c r="D897" s="4" t="s">
        <v>23</v>
      </c>
      <c r="E897" s="4">
        <v>10</v>
      </c>
      <c r="F897" s="4">
        <v>21624</v>
      </c>
      <c r="G897" s="4">
        <v>216240</v>
      </c>
      <c r="H897" s="4">
        <v>103712</v>
      </c>
      <c r="I897" s="4"/>
      <c r="J897" s="4"/>
      <c r="K897" s="4"/>
      <c r="L897" s="6">
        <f t="shared" si="13"/>
        <v>2.08500462820117</v>
      </c>
      <c r="M897" s="4"/>
    </row>
    <row r="898" spans="1:13">
      <c r="A898" s="3">
        <v>45761</v>
      </c>
      <c r="B898" s="4" t="s">
        <v>2</v>
      </c>
      <c r="C898" s="4" t="s">
        <v>24</v>
      </c>
      <c r="D898" s="4" t="s">
        <v>30</v>
      </c>
      <c r="E898" s="4">
        <v>5</v>
      </c>
      <c r="F898" s="4">
        <v>11588</v>
      </c>
      <c r="G898" s="4">
        <v>57940</v>
      </c>
      <c r="H898" s="4">
        <v>60289</v>
      </c>
      <c r="I898" s="4"/>
      <c r="J898" s="4"/>
      <c r="K898" s="4"/>
      <c r="L898" s="6">
        <f t="shared" si="13"/>
        <v>0.961037668563088</v>
      </c>
      <c r="M898" s="4"/>
    </row>
    <row r="899" spans="1:13">
      <c r="A899" s="3">
        <v>45723</v>
      </c>
      <c r="B899" s="4" t="s">
        <v>7</v>
      </c>
      <c r="C899" s="4" t="s">
        <v>22</v>
      </c>
      <c r="D899" s="4" t="s">
        <v>29</v>
      </c>
      <c r="E899" s="4">
        <v>3</v>
      </c>
      <c r="F899" s="4">
        <v>14843</v>
      </c>
      <c r="G899" s="4">
        <v>44529</v>
      </c>
      <c r="H899" s="4">
        <v>59811</v>
      </c>
      <c r="I899" s="4"/>
      <c r="J899" s="4"/>
      <c r="K899" s="4"/>
      <c r="L899" s="6">
        <f t="shared" ref="L899:L962" si="14">G899/H899</f>
        <v>0.744495159753223</v>
      </c>
      <c r="M899" s="4"/>
    </row>
    <row r="900" spans="1:13">
      <c r="A900" s="3">
        <v>45742</v>
      </c>
      <c r="B900" s="4" t="s">
        <v>5</v>
      </c>
      <c r="C900" s="4" t="s">
        <v>26</v>
      </c>
      <c r="D900" s="4" t="s">
        <v>25</v>
      </c>
      <c r="E900" s="4">
        <v>6</v>
      </c>
      <c r="F900" s="4">
        <v>3648</v>
      </c>
      <c r="G900" s="4">
        <v>21888</v>
      </c>
      <c r="H900" s="4">
        <v>119212</v>
      </c>
      <c r="I900" s="4"/>
      <c r="J900" s="4"/>
      <c r="K900" s="4"/>
      <c r="L900" s="6">
        <f t="shared" si="14"/>
        <v>0.183605677280811</v>
      </c>
      <c r="M900" s="4"/>
    </row>
    <row r="901" spans="1:13">
      <c r="A901" s="3">
        <v>45836</v>
      </c>
      <c r="B901" s="4" t="s">
        <v>6</v>
      </c>
      <c r="C901" s="4" t="s">
        <v>24</v>
      </c>
      <c r="D901" s="4" t="s">
        <v>23</v>
      </c>
      <c r="E901" s="4">
        <v>4</v>
      </c>
      <c r="F901" s="4">
        <v>8714</v>
      </c>
      <c r="G901" s="4">
        <v>34856</v>
      </c>
      <c r="H901" s="4">
        <v>97335</v>
      </c>
      <c r="I901" s="4"/>
      <c r="J901" s="4"/>
      <c r="K901" s="4"/>
      <c r="L901" s="6">
        <f t="shared" si="14"/>
        <v>0.358103457132583</v>
      </c>
      <c r="M901" s="4"/>
    </row>
    <row r="902" spans="1:13">
      <c r="A902" s="3">
        <v>45757</v>
      </c>
      <c r="B902" s="4" t="s">
        <v>6</v>
      </c>
      <c r="C902" s="4" t="s">
        <v>24</v>
      </c>
      <c r="D902" s="4" t="s">
        <v>30</v>
      </c>
      <c r="E902" s="4">
        <v>1</v>
      </c>
      <c r="F902" s="4">
        <v>36445</v>
      </c>
      <c r="G902" s="4">
        <v>36445</v>
      </c>
      <c r="H902" s="4">
        <v>72879</v>
      </c>
      <c r="I902" s="4"/>
      <c r="J902" s="4"/>
      <c r="K902" s="4"/>
      <c r="L902" s="6">
        <f t="shared" si="14"/>
        <v>0.500075467555812</v>
      </c>
      <c r="M902" s="4"/>
    </row>
    <row r="903" spans="1:13">
      <c r="A903" s="3">
        <v>45695</v>
      </c>
      <c r="B903" s="4" t="s">
        <v>4</v>
      </c>
      <c r="C903" s="4" t="s">
        <v>26</v>
      </c>
      <c r="D903" s="4" t="s">
        <v>27</v>
      </c>
      <c r="E903" s="4">
        <v>6</v>
      </c>
      <c r="F903" s="4">
        <v>21781</v>
      </c>
      <c r="G903" s="4">
        <v>130686</v>
      </c>
      <c r="H903" s="4">
        <v>65656</v>
      </c>
      <c r="I903" s="4"/>
      <c r="J903" s="4"/>
      <c r="K903" s="4"/>
      <c r="L903" s="6">
        <f t="shared" si="14"/>
        <v>1.99046545631778</v>
      </c>
      <c r="M903" s="4"/>
    </row>
    <row r="904" spans="1:13">
      <c r="A904" s="3">
        <v>45827</v>
      </c>
      <c r="B904" s="4" t="s">
        <v>8</v>
      </c>
      <c r="C904" s="4" t="s">
        <v>24</v>
      </c>
      <c r="D904" s="4" t="s">
        <v>30</v>
      </c>
      <c r="E904" s="4">
        <v>5</v>
      </c>
      <c r="F904" s="4">
        <v>16189</v>
      </c>
      <c r="G904" s="4">
        <v>80945</v>
      </c>
      <c r="H904" s="4">
        <v>196797</v>
      </c>
      <c r="I904" s="4"/>
      <c r="J904" s="4"/>
      <c r="K904" s="4"/>
      <c r="L904" s="6">
        <f t="shared" si="14"/>
        <v>0.411312164311448</v>
      </c>
      <c r="M904" s="4"/>
    </row>
    <row r="905" spans="1:13">
      <c r="A905" s="3">
        <v>45799</v>
      </c>
      <c r="B905" s="4" t="s">
        <v>7</v>
      </c>
      <c r="C905" s="4" t="s">
        <v>26</v>
      </c>
      <c r="D905" s="4" t="s">
        <v>33</v>
      </c>
      <c r="E905" s="4">
        <v>9</v>
      </c>
      <c r="F905" s="4">
        <v>13430</v>
      </c>
      <c r="G905" s="4">
        <v>120870</v>
      </c>
      <c r="H905" s="4">
        <v>158578</v>
      </c>
      <c r="I905" s="4"/>
      <c r="J905" s="4"/>
      <c r="K905" s="4"/>
      <c r="L905" s="6">
        <f t="shared" si="14"/>
        <v>0.762211656093531</v>
      </c>
      <c r="M905" s="4"/>
    </row>
    <row r="906" spans="1:13">
      <c r="A906" s="3">
        <v>45774</v>
      </c>
      <c r="B906" s="4" t="s">
        <v>8</v>
      </c>
      <c r="C906" s="4" t="s">
        <v>28</v>
      </c>
      <c r="D906" s="4" t="s">
        <v>31</v>
      </c>
      <c r="E906" s="4">
        <v>3</v>
      </c>
      <c r="F906" s="4">
        <v>39782</v>
      </c>
      <c r="G906" s="4">
        <v>119346</v>
      </c>
      <c r="H906" s="4">
        <v>175335</v>
      </c>
      <c r="I906" s="4"/>
      <c r="J906" s="4"/>
      <c r="K906" s="4"/>
      <c r="L906" s="6">
        <f t="shared" si="14"/>
        <v>0.680674138078535</v>
      </c>
      <c r="M906" s="4"/>
    </row>
    <row r="907" spans="1:13">
      <c r="A907" s="3">
        <v>45660</v>
      </c>
      <c r="B907" s="4" t="s">
        <v>5</v>
      </c>
      <c r="C907" s="4" t="s">
        <v>28</v>
      </c>
      <c r="D907" s="4" t="s">
        <v>30</v>
      </c>
      <c r="E907" s="4">
        <v>7</v>
      </c>
      <c r="F907" s="4">
        <v>21995</v>
      </c>
      <c r="G907" s="4">
        <v>153965</v>
      </c>
      <c r="H907" s="4">
        <v>67977</v>
      </c>
      <c r="I907" s="4"/>
      <c r="J907" s="4"/>
      <c r="K907" s="4"/>
      <c r="L907" s="6">
        <f t="shared" si="14"/>
        <v>2.26495726495726</v>
      </c>
      <c r="M907" s="4"/>
    </row>
    <row r="908" spans="1:13">
      <c r="A908" s="3">
        <v>45829</v>
      </c>
      <c r="B908" s="4" t="s">
        <v>7</v>
      </c>
      <c r="C908" s="4" t="s">
        <v>26</v>
      </c>
      <c r="D908" s="4" t="s">
        <v>27</v>
      </c>
      <c r="E908" s="4">
        <v>5</v>
      </c>
      <c r="F908" s="4">
        <v>12966</v>
      </c>
      <c r="G908" s="4">
        <v>64830</v>
      </c>
      <c r="H908" s="4">
        <v>171860</v>
      </c>
      <c r="I908" s="4"/>
      <c r="J908" s="4"/>
      <c r="K908" s="4"/>
      <c r="L908" s="6">
        <f t="shared" si="14"/>
        <v>0.377225648783894</v>
      </c>
      <c r="M908" s="4"/>
    </row>
    <row r="909" spans="1:13">
      <c r="A909" s="3">
        <v>45734</v>
      </c>
      <c r="B909" s="4" t="s">
        <v>2</v>
      </c>
      <c r="C909" s="4" t="s">
        <v>26</v>
      </c>
      <c r="D909" s="4" t="s">
        <v>32</v>
      </c>
      <c r="E909" s="4">
        <v>7</v>
      </c>
      <c r="F909" s="4">
        <v>9153</v>
      </c>
      <c r="G909" s="4">
        <v>64071</v>
      </c>
      <c r="H909" s="4">
        <v>41651</v>
      </c>
      <c r="I909" s="4"/>
      <c r="J909" s="4"/>
      <c r="K909" s="4"/>
      <c r="L909" s="6">
        <f t="shared" si="14"/>
        <v>1.53828239418021</v>
      </c>
      <c r="M909" s="4"/>
    </row>
    <row r="910" spans="1:13">
      <c r="A910" s="3">
        <v>45702</v>
      </c>
      <c r="B910" s="4" t="s">
        <v>3</v>
      </c>
      <c r="C910" s="4" t="s">
        <v>26</v>
      </c>
      <c r="D910" s="4" t="s">
        <v>30</v>
      </c>
      <c r="E910" s="4">
        <v>6</v>
      </c>
      <c r="F910" s="4">
        <v>34639</v>
      </c>
      <c r="G910" s="4">
        <v>207834</v>
      </c>
      <c r="H910" s="4">
        <v>131032</v>
      </c>
      <c r="I910" s="4"/>
      <c r="J910" s="4"/>
      <c r="K910" s="4"/>
      <c r="L910" s="6">
        <f t="shared" si="14"/>
        <v>1.58613163196776</v>
      </c>
      <c r="M910" s="4"/>
    </row>
    <row r="911" spans="1:13">
      <c r="A911" s="3">
        <v>45760</v>
      </c>
      <c r="B911" s="4" t="s">
        <v>3</v>
      </c>
      <c r="C911" s="4" t="s">
        <v>22</v>
      </c>
      <c r="D911" s="4" t="s">
        <v>25</v>
      </c>
      <c r="E911" s="4">
        <v>8</v>
      </c>
      <c r="F911" s="4">
        <v>22553</v>
      </c>
      <c r="G911" s="4">
        <v>180424</v>
      </c>
      <c r="H911" s="4">
        <v>97888</v>
      </c>
      <c r="I911" s="4"/>
      <c r="J911" s="4"/>
      <c r="K911" s="4"/>
      <c r="L911" s="6">
        <f t="shared" si="14"/>
        <v>1.84316770186335</v>
      </c>
      <c r="M911" s="4"/>
    </row>
    <row r="912" spans="1:13">
      <c r="A912" s="3">
        <v>45688</v>
      </c>
      <c r="B912" s="4" t="s">
        <v>6</v>
      </c>
      <c r="C912" s="4" t="s">
        <v>26</v>
      </c>
      <c r="D912" s="4" t="s">
        <v>23</v>
      </c>
      <c r="E912" s="4">
        <v>3</v>
      </c>
      <c r="F912" s="4">
        <v>519</v>
      </c>
      <c r="G912" s="4">
        <v>1557</v>
      </c>
      <c r="H912" s="4">
        <v>92636</v>
      </c>
      <c r="I912" s="4"/>
      <c r="J912" s="4"/>
      <c r="K912" s="4"/>
      <c r="L912" s="6">
        <f t="shared" si="14"/>
        <v>0.0168077205406106</v>
      </c>
      <c r="M912" s="4"/>
    </row>
    <row r="913" spans="1:13">
      <c r="A913" s="3">
        <v>45804</v>
      </c>
      <c r="B913" s="4" t="s">
        <v>8</v>
      </c>
      <c r="C913" s="4" t="s">
        <v>26</v>
      </c>
      <c r="D913" s="4" t="s">
        <v>32</v>
      </c>
      <c r="E913" s="4">
        <v>8</v>
      </c>
      <c r="F913" s="4">
        <v>2098</v>
      </c>
      <c r="G913" s="4">
        <v>16784</v>
      </c>
      <c r="H913" s="4">
        <v>45482</v>
      </c>
      <c r="I913" s="4"/>
      <c r="J913" s="4"/>
      <c r="K913" s="4"/>
      <c r="L913" s="6">
        <f t="shared" si="14"/>
        <v>0.369025108834264</v>
      </c>
      <c r="M913" s="4"/>
    </row>
    <row r="914" spans="1:13">
      <c r="A914" s="3">
        <v>45820</v>
      </c>
      <c r="B914" s="4" t="s">
        <v>5</v>
      </c>
      <c r="C914" s="4" t="s">
        <v>26</v>
      </c>
      <c r="D914" s="4" t="s">
        <v>31</v>
      </c>
      <c r="E914" s="4">
        <v>8</v>
      </c>
      <c r="F914" s="4">
        <v>10506</v>
      </c>
      <c r="G914" s="4">
        <v>84048</v>
      </c>
      <c r="H914" s="4">
        <v>41216</v>
      </c>
      <c r="I914" s="4"/>
      <c r="J914" s="4"/>
      <c r="K914" s="4"/>
      <c r="L914" s="6">
        <f t="shared" si="14"/>
        <v>2.03920807453416</v>
      </c>
      <c r="M914" s="4"/>
    </row>
    <row r="915" spans="1:13">
      <c r="A915" s="3">
        <v>45677</v>
      </c>
      <c r="B915" s="4" t="s">
        <v>6</v>
      </c>
      <c r="C915" s="4" t="s">
        <v>24</v>
      </c>
      <c r="D915" s="4" t="s">
        <v>32</v>
      </c>
      <c r="E915" s="4">
        <v>6</v>
      </c>
      <c r="F915" s="4">
        <v>24819</v>
      </c>
      <c r="G915" s="4">
        <v>148914</v>
      </c>
      <c r="H915" s="4">
        <v>128093</v>
      </c>
      <c r="I915" s="4"/>
      <c r="J915" s="4"/>
      <c r="K915" s="4"/>
      <c r="L915" s="6">
        <f t="shared" si="14"/>
        <v>1.16254596269898</v>
      </c>
      <c r="M915" s="4"/>
    </row>
    <row r="916" spans="1:13">
      <c r="A916" s="3">
        <v>45724</v>
      </c>
      <c r="B916" s="4" t="s">
        <v>4</v>
      </c>
      <c r="C916" s="4" t="s">
        <v>22</v>
      </c>
      <c r="D916" s="4" t="s">
        <v>31</v>
      </c>
      <c r="E916" s="4">
        <v>4</v>
      </c>
      <c r="F916" s="4">
        <v>31137</v>
      </c>
      <c r="G916" s="4">
        <v>124548</v>
      </c>
      <c r="H916" s="4">
        <v>154272</v>
      </c>
      <c r="I916" s="4"/>
      <c r="J916" s="4"/>
      <c r="K916" s="4"/>
      <c r="L916" s="6">
        <f t="shared" si="14"/>
        <v>0.807327317983821</v>
      </c>
      <c r="M916" s="4"/>
    </row>
    <row r="917" spans="1:13">
      <c r="A917" s="3">
        <v>45694</v>
      </c>
      <c r="B917" s="4" t="s">
        <v>3</v>
      </c>
      <c r="C917" s="4" t="s">
        <v>22</v>
      </c>
      <c r="D917" s="4" t="s">
        <v>27</v>
      </c>
      <c r="E917" s="4">
        <v>6</v>
      </c>
      <c r="F917" s="4">
        <v>23143</v>
      </c>
      <c r="G917" s="4">
        <v>138858</v>
      </c>
      <c r="H917" s="4">
        <v>113028</v>
      </c>
      <c r="I917" s="4"/>
      <c r="J917" s="4"/>
      <c r="K917" s="4"/>
      <c r="L917" s="6">
        <f t="shared" si="14"/>
        <v>1.22852744452702</v>
      </c>
      <c r="M917" s="4"/>
    </row>
    <row r="918" spans="1:13">
      <c r="A918" s="3">
        <v>45822</v>
      </c>
      <c r="B918" s="4" t="s">
        <v>6</v>
      </c>
      <c r="C918" s="4" t="s">
        <v>26</v>
      </c>
      <c r="D918" s="4" t="s">
        <v>27</v>
      </c>
      <c r="E918" s="4">
        <v>3</v>
      </c>
      <c r="F918" s="4">
        <v>49074</v>
      </c>
      <c r="G918" s="4">
        <v>147222</v>
      </c>
      <c r="H918" s="4">
        <v>184335</v>
      </c>
      <c r="I918" s="4"/>
      <c r="J918" s="4"/>
      <c r="K918" s="4"/>
      <c r="L918" s="6">
        <f t="shared" si="14"/>
        <v>0.798665473187403</v>
      </c>
      <c r="M918" s="4"/>
    </row>
    <row r="919" spans="1:13">
      <c r="A919" s="3">
        <v>45837</v>
      </c>
      <c r="B919" s="4" t="s">
        <v>6</v>
      </c>
      <c r="C919" s="4" t="s">
        <v>28</v>
      </c>
      <c r="D919" s="4" t="s">
        <v>33</v>
      </c>
      <c r="E919" s="4">
        <v>6</v>
      </c>
      <c r="F919" s="4">
        <v>44513</v>
      </c>
      <c r="G919" s="4">
        <v>267078</v>
      </c>
      <c r="H919" s="4">
        <v>104997</v>
      </c>
      <c r="I919" s="4"/>
      <c r="J919" s="4"/>
      <c r="K919" s="4"/>
      <c r="L919" s="6">
        <f t="shared" si="14"/>
        <v>2.54367267636218</v>
      </c>
      <c r="M919" s="4"/>
    </row>
    <row r="920" spans="1:13">
      <c r="A920" s="3">
        <v>45826</v>
      </c>
      <c r="B920" s="4" t="s">
        <v>8</v>
      </c>
      <c r="C920" s="4" t="s">
        <v>26</v>
      </c>
      <c r="D920" s="4" t="s">
        <v>29</v>
      </c>
      <c r="E920" s="4">
        <v>7</v>
      </c>
      <c r="F920" s="4">
        <v>40753</v>
      </c>
      <c r="G920" s="4">
        <v>285271</v>
      </c>
      <c r="H920" s="4">
        <v>27679</v>
      </c>
      <c r="I920" s="4"/>
      <c r="J920" s="4"/>
      <c r="K920" s="4"/>
      <c r="L920" s="6">
        <f t="shared" si="14"/>
        <v>10.3064055782362</v>
      </c>
      <c r="M920" s="4"/>
    </row>
    <row r="921" spans="1:13">
      <c r="A921" s="3">
        <v>45742</v>
      </c>
      <c r="B921" s="4" t="s">
        <v>4</v>
      </c>
      <c r="C921" s="4" t="s">
        <v>24</v>
      </c>
      <c r="D921" s="4" t="s">
        <v>23</v>
      </c>
      <c r="E921" s="4">
        <v>7</v>
      </c>
      <c r="F921" s="4">
        <v>21041</v>
      </c>
      <c r="G921" s="4">
        <v>147287</v>
      </c>
      <c r="H921" s="4">
        <v>135735</v>
      </c>
      <c r="I921" s="4"/>
      <c r="J921" s="4"/>
      <c r="K921" s="4"/>
      <c r="L921" s="6">
        <f t="shared" si="14"/>
        <v>1.08510700998269</v>
      </c>
      <c r="M921" s="4"/>
    </row>
    <row r="922" spans="1:13">
      <c r="A922" s="3">
        <v>45711</v>
      </c>
      <c r="B922" s="4" t="s">
        <v>8</v>
      </c>
      <c r="C922" s="4" t="s">
        <v>28</v>
      </c>
      <c r="D922" s="4" t="s">
        <v>25</v>
      </c>
      <c r="E922" s="4">
        <v>6</v>
      </c>
      <c r="F922" s="4">
        <v>43463</v>
      </c>
      <c r="G922" s="4">
        <v>260778</v>
      </c>
      <c r="H922" s="4">
        <v>65930</v>
      </c>
      <c r="I922" s="4"/>
      <c r="J922" s="4"/>
      <c r="K922" s="4"/>
      <c r="L922" s="6">
        <f t="shared" si="14"/>
        <v>3.95537691490975</v>
      </c>
      <c r="M922" s="4"/>
    </row>
    <row r="923" spans="1:13">
      <c r="A923" s="3">
        <v>45798</v>
      </c>
      <c r="B923" s="4" t="s">
        <v>8</v>
      </c>
      <c r="C923" s="4" t="s">
        <v>24</v>
      </c>
      <c r="D923" s="4" t="s">
        <v>27</v>
      </c>
      <c r="E923" s="4">
        <v>1</v>
      </c>
      <c r="F923" s="4">
        <v>43371</v>
      </c>
      <c r="G923" s="4">
        <v>43371</v>
      </c>
      <c r="H923" s="4">
        <v>108035</v>
      </c>
      <c r="I923" s="4"/>
      <c r="J923" s="4"/>
      <c r="K923" s="4"/>
      <c r="L923" s="6">
        <f t="shared" si="14"/>
        <v>0.401453232748646</v>
      </c>
      <c r="M923" s="4"/>
    </row>
    <row r="924" spans="1:13">
      <c r="A924" s="3">
        <v>45823</v>
      </c>
      <c r="B924" s="4" t="s">
        <v>6</v>
      </c>
      <c r="C924" s="4" t="s">
        <v>28</v>
      </c>
      <c r="D924" s="4" t="s">
        <v>31</v>
      </c>
      <c r="E924" s="4">
        <v>9</v>
      </c>
      <c r="F924" s="4">
        <v>7851</v>
      </c>
      <c r="G924" s="4">
        <v>70659</v>
      </c>
      <c r="H924" s="4">
        <v>22727</v>
      </c>
      <c r="I924" s="4"/>
      <c r="J924" s="4"/>
      <c r="K924" s="4"/>
      <c r="L924" s="6">
        <f t="shared" si="14"/>
        <v>3.1090333083997</v>
      </c>
      <c r="M924" s="4"/>
    </row>
    <row r="925" spans="1:13">
      <c r="A925" s="3">
        <v>45757</v>
      </c>
      <c r="B925" s="4" t="s">
        <v>2</v>
      </c>
      <c r="C925" s="4" t="s">
        <v>24</v>
      </c>
      <c r="D925" s="4" t="s">
        <v>23</v>
      </c>
      <c r="E925" s="4">
        <v>3</v>
      </c>
      <c r="F925" s="4">
        <v>31739</v>
      </c>
      <c r="G925" s="4">
        <v>95217</v>
      </c>
      <c r="H925" s="4">
        <v>154723</v>
      </c>
      <c r="I925" s="4"/>
      <c r="J925" s="4"/>
      <c r="K925" s="4"/>
      <c r="L925" s="6">
        <f t="shared" si="14"/>
        <v>0.615403010541419</v>
      </c>
      <c r="M925" s="4"/>
    </row>
    <row r="926" spans="1:13">
      <c r="A926" s="3">
        <v>45714</v>
      </c>
      <c r="B926" s="4" t="s">
        <v>2</v>
      </c>
      <c r="C926" s="4" t="s">
        <v>26</v>
      </c>
      <c r="D926" s="4" t="s">
        <v>27</v>
      </c>
      <c r="E926" s="4">
        <v>3</v>
      </c>
      <c r="F926" s="4">
        <v>31102</v>
      </c>
      <c r="G926" s="4">
        <v>93306</v>
      </c>
      <c r="H926" s="4">
        <v>115569</v>
      </c>
      <c r="I926" s="4"/>
      <c r="J926" s="4"/>
      <c r="K926" s="4"/>
      <c r="L926" s="6">
        <f t="shared" si="14"/>
        <v>0.807361835786413</v>
      </c>
      <c r="M926" s="4"/>
    </row>
    <row r="927" spans="1:13">
      <c r="A927" s="3">
        <v>45834</v>
      </c>
      <c r="B927" s="4" t="s">
        <v>4</v>
      </c>
      <c r="C927" s="4" t="s">
        <v>28</v>
      </c>
      <c r="D927" s="4" t="s">
        <v>27</v>
      </c>
      <c r="E927" s="4">
        <v>10</v>
      </c>
      <c r="F927" s="4">
        <v>35286</v>
      </c>
      <c r="G927" s="4">
        <v>352860</v>
      </c>
      <c r="H927" s="4">
        <v>164484</v>
      </c>
      <c r="I927" s="4"/>
      <c r="J927" s="4"/>
      <c r="K927" s="4"/>
      <c r="L927" s="6">
        <f t="shared" si="14"/>
        <v>2.14525424965346</v>
      </c>
      <c r="M927" s="4"/>
    </row>
    <row r="928" spans="1:13">
      <c r="A928" s="3">
        <v>45714</v>
      </c>
      <c r="B928" s="4" t="s">
        <v>6</v>
      </c>
      <c r="C928" s="4" t="s">
        <v>28</v>
      </c>
      <c r="D928" s="4" t="s">
        <v>29</v>
      </c>
      <c r="E928" s="4">
        <v>5</v>
      </c>
      <c r="F928" s="4">
        <v>4169</v>
      </c>
      <c r="G928" s="4">
        <v>20845</v>
      </c>
      <c r="H928" s="4">
        <v>192321</v>
      </c>
      <c r="I928" s="4"/>
      <c r="J928" s="4"/>
      <c r="K928" s="4"/>
      <c r="L928" s="6">
        <f t="shared" si="14"/>
        <v>0.108386499654224</v>
      </c>
      <c r="M928" s="4"/>
    </row>
    <row r="929" spans="1:13">
      <c r="A929" s="3">
        <v>45722</v>
      </c>
      <c r="B929" s="4" t="s">
        <v>4</v>
      </c>
      <c r="C929" s="4" t="s">
        <v>22</v>
      </c>
      <c r="D929" s="4" t="s">
        <v>25</v>
      </c>
      <c r="E929" s="4">
        <v>7</v>
      </c>
      <c r="F929" s="4">
        <v>24390</v>
      </c>
      <c r="G929" s="4">
        <v>170730</v>
      </c>
      <c r="H929" s="4">
        <v>72613</v>
      </c>
      <c r="I929" s="4"/>
      <c r="J929" s="4"/>
      <c r="K929" s="4"/>
      <c r="L929" s="6">
        <f t="shared" si="14"/>
        <v>2.35123187308058</v>
      </c>
      <c r="M929" s="4"/>
    </row>
    <row r="930" spans="1:13">
      <c r="A930" s="3">
        <v>45666</v>
      </c>
      <c r="B930" s="4" t="s">
        <v>3</v>
      </c>
      <c r="C930" s="4" t="s">
        <v>26</v>
      </c>
      <c r="D930" s="4" t="s">
        <v>29</v>
      </c>
      <c r="E930" s="4">
        <v>1</v>
      </c>
      <c r="F930" s="4">
        <v>24470</v>
      </c>
      <c r="G930" s="4">
        <v>24470</v>
      </c>
      <c r="H930" s="4">
        <v>92820</v>
      </c>
      <c r="I930" s="4"/>
      <c r="J930" s="4"/>
      <c r="K930" s="4"/>
      <c r="L930" s="6">
        <f t="shared" si="14"/>
        <v>0.263628528334411</v>
      </c>
      <c r="M930" s="4"/>
    </row>
    <row r="931" spans="1:13">
      <c r="A931" s="3">
        <v>45835</v>
      </c>
      <c r="B931" s="4" t="s">
        <v>3</v>
      </c>
      <c r="C931" s="4" t="s">
        <v>26</v>
      </c>
      <c r="D931" s="4" t="s">
        <v>30</v>
      </c>
      <c r="E931" s="4">
        <v>2</v>
      </c>
      <c r="F931" s="4">
        <v>46744</v>
      </c>
      <c r="G931" s="4">
        <v>93488</v>
      </c>
      <c r="H931" s="4">
        <v>160181</v>
      </c>
      <c r="I931" s="4"/>
      <c r="J931" s="4"/>
      <c r="K931" s="4"/>
      <c r="L931" s="6">
        <f t="shared" si="14"/>
        <v>0.583639757524301</v>
      </c>
      <c r="M931" s="4"/>
    </row>
    <row r="932" spans="1:13">
      <c r="A932" s="3">
        <v>45812</v>
      </c>
      <c r="B932" s="4" t="s">
        <v>6</v>
      </c>
      <c r="C932" s="4" t="s">
        <v>28</v>
      </c>
      <c r="D932" s="4" t="s">
        <v>27</v>
      </c>
      <c r="E932" s="4">
        <v>10</v>
      </c>
      <c r="F932" s="4">
        <v>48787</v>
      </c>
      <c r="G932" s="4">
        <v>487870</v>
      </c>
      <c r="H932" s="4">
        <v>83960</v>
      </c>
      <c r="I932" s="4"/>
      <c r="J932" s="4"/>
      <c r="K932" s="4"/>
      <c r="L932" s="6">
        <f t="shared" si="14"/>
        <v>5.81074321105288</v>
      </c>
      <c r="M932" s="4"/>
    </row>
    <row r="933" spans="1:13">
      <c r="A933" s="3">
        <v>45815</v>
      </c>
      <c r="B933" s="4" t="s">
        <v>5</v>
      </c>
      <c r="C933" s="4" t="s">
        <v>28</v>
      </c>
      <c r="D933" s="4" t="s">
        <v>29</v>
      </c>
      <c r="E933" s="4">
        <v>2</v>
      </c>
      <c r="F933" s="4">
        <v>32062</v>
      </c>
      <c r="G933" s="4">
        <v>64124</v>
      </c>
      <c r="H933" s="4">
        <v>138530</v>
      </c>
      <c r="I933" s="4"/>
      <c r="J933" s="4"/>
      <c r="K933" s="4"/>
      <c r="L933" s="6">
        <f t="shared" si="14"/>
        <v>0.46288890493034</v>
      </c>
      <c r="M933" s="4"/>
    </row>
    <row r="934" spans="1:13">
      <c r="A934" s="3">
        <v>45784</v>
      </c>
      <c r="B934" s="4" t="s">
        <v>6</v>
      </c>
      <c r="C934" s="4" t="s">
        <v>24</v>
      </c>
      <c r="D934" s="4" t="s">
        <v>27</v>
      </c>
      <c r="E934" s="4">
        <v>9</v>
      </c>
      <c r="F934" s="4">
        <v>38195</v>
      </c>
      <c r="G934" s="4">
        <v>343755</v>
      </c>
      <c r="H934" s="4">
        <v>174024</v>
      </c>
      <c r="I934" s="4"/>
      <c r="J934" s="4"/>
      <c r="K934" s="4"/>
      <c r="L934" s="6">
        <f t="shared" si="14"/>
        <v>1.97533098882913</v>
      </c>
      <c r="M934" s="4"/>
    </row>
    <row r="935" spans="1:13">
      <c r="A935" s="3">
        <v>45730</v>
      </c>
      <c r="B935" s="4" t="s">
        <v>6</v>
      </c>
      <c r="C935" s="4" t="s">
        <v>22</v>
      </c>
      <c r="D935" s="4" t="s">
        <v>25</v>
      </c>
      <c r="E935" s="4">
        <v>5</v>
      </c>
      <c r="F935" s="4">
        <v>10121</v>
      </c>
      <c r="G935" s="4">
        <v>50605</v>
      </c>
      <c r="H935" s="4">
        <v>177664</v>
      </c>
      <c r="I935" s="4"/>
      <c r="J935" s="4"/>
      <c r="K935" s="4"/>
      <c r="L935" s="6">
        <f t="shared" si="14"/>
        <v>0.284835419668588</v>
      </c>
      <c r="M935" s="4"/>
    </row>
    <row r="936" spans="1:13">
      <c r="A936" s="3">
        <v>45786</v>
      </c>
      <c r="B936" s="4" t="s">
        <v>7</v>
      </c>
      <c r="C936" s="4" t="s">
        <v>28</v>
      </c>
      <c r="D936" s="4" t="s">
        <v>25</v>
      </c>
      <c r="E936" s="4">
        <v>1</v>
      </c>
      <c r="F936" s="4">
        <v>27669</v>
      </c>
      <c r="G936" s="4">
        <v>27669</v>
      </c>
      <c r="H936" s="4">
        <v>21459</v>
      </c>
      <c r="I936" s="4"/>
      <c r="J936" s="4"/>
      <c r="K936" s="4"/>
      <c r="L936" s="6">
        <f t="shared" si="14"/>
        <v>1.28938906752412</v>
      </c>
      <c r="M936" s="4"/>
    </row>
    <row r="937" spans="1:13">
      <c r="A937" s="3">
        <v>45664</v>
      </c>
      <c r="B937" s="4" t="s">
        <v>8</v>
      </c>
      <c r="C937" s="4" t="s">
        <v>26</v>
      </c>
      <c r="D937" s="4" t="s">
        <v>32</v>
      </c>
      <c r="E937" s="4">
        <v>6</v>
      </c>
      <c r="F937" s="4">
        <v>35305</v>
      </c>
      <c r="G937" s="4">
        <v>211830</v>
      </c>
      <c r="H937" s="4">
        <v>93489</v>
      </c>
      <c r="I937" s="4"/>
      <c r="J937" s="4"/>
      <c r="K937" s="4"/>
      <c r="L937" s="6">
        <f t="shared" si="14"/>
        <v>2.26582806533389</v>
      </c>
      <c r="M937" s="4"/>
    </row>
    <row r="938" spans="1:13">
      <c r="A938" s="3">
        <v>45740</v>
      </c>
      <c r="B938" s="4" t="s">
        <v>4</v>
      </c>
      <c r="C938" s="4" t="s">
        <v>22</v>
      </c>
      <c r="D938" s="4" t="s">
        <v>33</v>
      </c>
      <c r="E938" s="4">
        <v>6</v>
      </c>
      <c r="F938" s="4">
        <v>21408</v>
      </c>
      <c r="G938" s="4">
        <v>128448</v>
      </c>
      <c r="H938" s="4">
        <v>20843</v>
      </c>
      <c r="I938" s="4"/>
      <c r="J938" s="4"/>
      <c r="K938" s="4"/>
      <c r="L938" s="6">
        <f t="shared" si="14"/>
        <v>6.16264453293672</v>
      </c>
      <c r="M938" s="4"/>
    </row>
    <row r="939" spans="1:13">
      <c r="A939" s="3">
        <v>45789</v>
      </c>
      <c r="B939" s="4" t="s">
        <v>2</v>
      </c>
      <c r="C939" s="4" t="s">
        <v>22</v>
      </c>
      <c r="D939" s="4" t="s">
        <v>30</v>
      </c>
      <c r="E939" s="4">
        <v>9</v>
      </c>
      <c r="F939" s="4">
        <v>43948</v>
      </c>
      <c r="G939" s="4">
        <v>395532</v>
      </c>
      <c r="H939" s="4">
        <v>4741</v>
      </c>
      <c r="I939" s="4"/>
      <c r="J939" s="4"/>
      <c r="K939" s="4"/>
      <c r="L939" s="6">
        <f t="shared" si="14"/>
        <v>83.4279687829572</v>
      </c>
      <c r="M939" s="4"/>
    </row>
    <row r="940" spans="1:13">
      <c r="A940" s="3">
        <v>45770</v>
      </c>
      <c r="B940" s="4" t="s">
        <v>4</v>
      </c>
      <c r="C940" s="4" t="s">
        <v>22</v>
      </c>
      <c r="D940" s="4" t="s">
        <v>31</v>
      </c>
      <c r="E940" s="4">
        <v>4</v>
      </c>
      <c r="F940" s="4">
        <v>20826</v>
      </c>
      <c r="G940" s="4">
        <v>83304</v>
      </c>
      <c r="H940" s="4">
        <v>159355</v>
      </c>
      <c r="I940" s="4"/>
      <c r="J940" s="4"/>
      <c r="K940" s="4"/>
      <c r="L940" s="6">
        <f t="shared" si="14"/>
        <v>0.522757365630197</v>
      </c>
      <c r="M940" s="4"/>
    </row>
    <row r="941" spans="1:13">
      <c r="A941" s="3">
        <v>45684</v>
      </c>
      <c r="B941" s="4" t="s">
        <v>8</v>
      </c>
      <c r="C941" s="4" t="s">
        <v>28</v>
      </c>
      <c r="D941" s="4" t="s">
        <v>33</v>
      </c>
      <c r="E941" s="4">
        <v>5</v>
      </c>
      <c r="F941" s="4">
        <v>24873</v>
      </c>
      <c r="G941" s="4">
        <v>124365</v>
      </c>
      <c r="H941" s="4">
        <v>172974</v>
      </c>
      <c r="I941" s="4"/>
      <c r="J941" s="4"/>
      <c r="K941" s="4"/>
      <c r="L941" s="6">
        <f t="shared" si="14"/>
        <v>0.718980887300982</v>
      </c>
      <c r="M941" s="4"/>
    </row>
    <row r="942" spans="1:13">
      <c r="A942" s="3">
        <v>45789</v>
      </c>
      <c r="B942" s="4" t="s">
        <v>3</v>
      </c>
      <c r="C942" s="4" t="s">
        <v>26</v>
      </c>
      <c r="D942" s="4" t="s">
        <v>29</v>
      </c>
      <c r="E942" s="4">
        <v>1</v>
      </c>
      <c r="F942" s="4">
        <v>45095</v>
      </c>
      <c r="G942" s="4">
        <v>45095</v>
      </c>
      <c r="H942" s="4">
        <v>8128</v>
      </c>
      <c r="I942" s="4"/>
      <c r="J942" s="4"/>
      <c r="K942" s="4"/>
      <c r="L942" s="6">
        <f t="shared" si="14"/>
        <v>5.54810531496063</v>
      </c>
      <c r="M942" s="4"/>
    </row>
    <row r="943" spans="1:13">
      <c r="A943" s="3">
        <v>45764</v>
      </c>
      <c r="B943" s="4" t="s">
        <v>8</v>
      </c>
      <c r="C943" s="4" t="s">
        <v>26</v>
      </c>
      <c r="D943" s="4" t="s">
        <v>32</v>
      </c>
      <c r="E943" s="4">
        <v>9</v>
      </c>
      <c r="F943" s="4">
        <v>20730</v>
      </c>
      <c r="G943" s="4">
        <v>186570</v>
      </c>
      <c r="H943" s="4">
        <v>122915</v>
      </c>
      <c r="I943" s="4"/>
      <c r="J943" s="4"/>
      <c r="K943" s="4"/>
      <c r="L943" s="6">
        <f t="shared" si="14"/>
        <v>1.51787820851808</v>
      </c>
      <c r="M943" s="4"/>
    </row>
    <row r="944" spans="1:13">
      <c r="A944" s="3">
        <v>45699</v>
      </c>
      <c r="B944" s="4" t="s">
        <v>2</v>
      </c>
      <c r="C944" s="4" t="s">
        <v>24</v>
      </c>
      <c r="D944" s="4" t="s">
        <v>33</v>
      </c>
      <c r="E944" s="4">
        <v>9</v>
      </c>
      <c r="F944" s="4">
        <v>48858</v>
      </c>
      <c r="G944" s="4">
        <v>439722</v>
      </c>
      <c r="H944" s="4">
        <v>59335</v>
      </c>
      <c r="I944" s="4"/>
      <c r="J944" s="4"/>
      <c r="K944" s="4"/>
      <c r="L944" s="6">
        <f t="shared" si="14"/>
        <v>7.41083677424791</v>
      </c>
      <c r="M944" s="4"/>
    </row>
    <row r="945" spans="1:13">
      <c r="A945" s="3">
        <v>45824</v>
      </c>
      <c r="B945" s="4" t="s">
        <v>2</v>
      </c>
      <c r="C945" s="4" t="s">
        <v>24</v>
      </c>
      <c r="D945" s="4" t="s">
        <v>31</v>
      </c>
      <c r="E945" s="4">
        <v>8</v>
      </c>
      <c r="F945" s="4">
        <v>23561</v>
      </c>
      <c r="G945" s="4">
        <v>188488</v>
      </c>
      <c r="H945" s="4">
        <v>195681</v>
      </c>
      <c r="I945" s="4"/>
      <c r="J945" s="4"/>
      <c r="K945" s="4"/>
      <c r="L945" s="6">
        <f t="shared" si="14"/>
        <v>0.963241193575258</v>
      </c>
      <c r="M945" s="4"/>
    </row>
    <row r="946" spans="1:13">
      <c r="A946" s="3">
        <v>45725</v>
      </c>
      <c r="B946" s="4" t="s">
        <v>2</v>
      </c>
      <c r="C946" s="4" t="s">
        <v>22</v>
      </c>
      <c r="D946" s="4" t="s">
        <v>29</v>
      </c>
      <c r="E946" s="4">
        <v>5</v>
      </c>
      <c r="F946" s="4">
        <v>40962</v>
      </c>
      <c r="G946" s="4">
        <v>204810</v>
      </c>
      <c r="H946" s="4">
        <v>167981</v>
      </c>
      <c r="I946" s="4"/>
      <c r="J946" s="4"/>
      <c r="K946" s="4"/>
      <c r="L946" s="6">
        <f t="shared" si="14"/>
        <v>1.21924503366452</v>
      </c>
      <c r="M946" s="4"/>
    </row>
    <row r="947" spans="1:13">
      <c r="A947" s="3">
        <v>45813</v>
      </c>
      <c r="B947" s="4" t="s">
        <v>6</v>
      </c>
      <c r="C947" s="4" t="s">
        <v>26</v>
      </c>
      <c r="D947" s="4" t="s">
        <v>29</v>
      </c>
      <c r="E947" s="4">
        <v>9</v>
      </c>
      <c r="F947" s="4">
        <v>43426</v>
      </c>
      <c r="G947" s="4">
        <v>390834</v>
      </c>
      <c r="H947" s="4">
        <v>52139</v>
      </c>
      <c r="I947" s="4"/>
      <c r="J947" s="4"/>
      <c r="K947" s="4"/>
      <c r="L947" s="6">
        <f t="shared" si="14"/>
        <v>7.49600107405205</v>
      </c>
      <c r="M947" s="4"/>
    </row>
    <row r="948" spans="1:13">
      <c r="A948" s="3">
        <v>45708</v>
      </c>
      <c r="B948" s="4" t="s">
        <v>4</v>
      </c>
      <c r="C948" s="4" t="s">
        <v>28</v>
      </c>
      <c r="D948" s="4" t="s">
        <v>33</v>
      </c>
      <c r="E948" s="4">
        <v>10</v>
      </c>
      <c r="F948" s="4">
        <v>14944</v>
      </c>
      <c r="G948" s="4">
        <v>149440</v>
      </c>
      <c r="H948" s="4">
        <v>174304</v>
      </c>
      <c r="I948" s="4"/>
      <c r="J948" s="4"/>
      <c r="K948" s="4"/>
      <c r="L948" s="6">
        <f t="shared" si="14"/>
        <v>0.857352671195153</v>
      </c>
      <c r="M948" s="4"/>
    </row>
    <row r="949" spans="1:13">
      <c r="A949" s="3">
        <v>45695</v>
      </c>
      <c r="B949" s="4" t="s">
        <v>2</v>
      </c>
      <c r="C949" s="4" t="s">
        <v>28</v>
      </c>
      <c r="D949" s="4" t="s">
        <v>30</v>
      </c>
      <c r="E949" s="4">
        <v>9</v>
      </c>
      <c r="F949" s="4">
        <v>15715</v>
      </c>
      <c r="G949" s="4">
        <v>141435</v>
      </c>
      <c r="H949" s="4">
        <v>16697</v>
      </c>
      <c r="I949" s="4"/>
      <c r="J949" s="4"/>
      <c r="K949" s="4"/>
      <c r="L949" s="6">
        <f t="shared" si="14"/>
        <v>8.47068335629155</v>
      </c>
      <c r="M949" s="4"/>
    </row>
    <row r="950" spans="1:13">
      <c r="A950" s="3">
        <v>45804</v>
      </c>
      <c r="B950" s="4" t="s">
        <v>2</v>
      </c>
      <c r="C950" s="4" t="s">
        <v>28</v>
      </c>
      <c r="D950" s="4" t="s">
        <v>25</v>
      </c>
      <c r="E950" s="4">
        <v>10</v>
      </c>
      <c r="F950" s="4">
        <v>9745</v>
      </c>
      <c r="G950" s="4">
        <v>97450</v>
      </c>
      <c r="H950" s="4">
        <v>144175</v>
      </c>
      <c r="I950" s="4"/>
      <c r="J950" s="4"/>
      <c r="K950" s="4"/>
      <c r="L950" s="6">
        <f t="shared" si="14"/>
        <v>0.675914687012311</v>
      </c>
      <c r="M950" s="4"/>
    </row>
    <row r="951" spans="1:13">
      <c r="A951" s="3">
        <v>45780</v>
      </c>
      <c r="B951" s="4" t="s">
        <v>6</v>
      </c>
      <c r="C951" s="4" t="s">
        <v>24</v>
      </c>
      <c r="D951" s="4" t="s">
        <v>27</v>
      </c>
      <c r="E951" s="4">
        <v>9</v>
      </c>
      <c r="F951" s="4">
        <v>44552</v>
      </c>
      <c r="G951" s="4">
        <v>400968</v>
      </c>
      <c r="H951" s="4">
        <v>82513</v>
      </c>
      <c r="I951" s="4"/>
      <c r="J951" s="4"/>
      <c r="K951" s="4"/>
      <c r="L951" s="6">
        <f t="shared" si="14"/>
        <v>4.85945244991698</v>
      </c>
      <c r="M951" s="4"/>
    </row>
    <row r="952" spans="1:13">
      <c r="A952" s="3">
        <v>45780</v>
      </c>
      <c r="B952" s="4" t="s">
        <v>4</v>
      </c>
      <c r="C952" s="4" t="s">
        <v>22</v>
      </c>
      <c r="D952" s="4" t="s">
        <v>23</v>
      </c>
      <c r="E952" s="4">
        <v>9</v>
      </c>
      <c r="F952" s="4">
        <v>18286</v>
      </c>
      <c r="G952" s="4">
        <v>164574</v>
      </c>
      <c r="H952" s="4">
        <v>143308</v>
      </c>
      <c r="I952" s="4"/>
      <c r="J952" s="4"/>
      <c r="K952" s="4"/>
      <c r="L952" s="6">
        <f t="shared" si="14"/>
        <v>1.14839366957881</v>
      </c>
      <c r="M952" s="4"/>
    </row>
    <row r="953" spans="1:13">
      <c r="A953" s="3">
        <v>45830</v>
      </c>
      <c r="B953" s="4" t="s">
        <v>5</v>
      </c>
      <c r="C953" s="4" t="s">
        <v>26</v>
      </c>
      <c r="D953" s="4" t="s">
        <v>33</v>
      </c>
      <c r="E953" s="4">
        <v>1</v>
      </c>
      <c r="F953" s="4">
        <v>16262</v>
      </c>
      <c r="G953" s="4">
        <v>16262</v>
      </c>
      <c r="H953" s="4">
        <v>168605</v>
      </c>
      <c r="I953" s="4"/>
      <c r="J953" s="4"/>
      <c r="K953" s="4"/>
      <c r="L953" s="6">
        <f t="shared" si="14"/>
        <v>0.0964502832063106</v>
      </c>
      <c r="M953" s="4"/>
    </row>
    <row r="954" spans="1:13">
      <c r="A954" s="3">
        <v>45806</v>
      </c>
      <c r="B954" s="4" t="s">
        <v>3</v>
      </c>
      <c r="C954" s="4" t="s">
        <v>28</v>
      </c>
      <c r="D954" s="4" t="s">
        <v>30</v>
      </c>
      <c r="E954" s="4">
        <v>7</v>
      </c>
      <c r="F954" s="4">
        <v>22576</v>
      </c>
      <c r="G954" s="4">
        <v>158032</v>
      </c>
      <c r="H954" s="4">
        <v>88840</v>
      </c>
      <c r="I954" s="4"/>
      <c r="J954" s="4"/>
      <c r="K954" s="4"/>
      <c r="L954" s="6">
        <f t="shared" si="14"/>
        <v>1.7788383610986</v>
      </c>
      <c r="M954" s="4"/>
    </row>
    <row r="955" spans="1:13">
      <c r="A955" s="3">
        <v>45731</v>
      </c>
      <c r="B955" s="4" t="s">
        <v>2</v>
      </c>
      <c r="C955" s="4" t="s">
        <v>26</v>
      </c>
      <c r="D955" s="4" t="s">
        <v>27</v>
      </c>
      <c r="E955" s="4">
        <v>5</v>
      </c>
      <c r="F955" s="4">
        <v>44080</v>
      </c>
      <c r="G955" s="4">
        <v>220400</v>
      </c>
      <c r="H955" s="4">
        <v>150719</v>
      </c>
      <c r="I955" s="4"/>
      <c r="J955" s="4"/>
      <c r="K955" s="4"/>
      <c r="L955" s="6">
        <f t="shared" si="14"/>
        <v>1.46232392730843</v>
      </c>
      <c r="M955" s="4"/>
    </row>
    <row r="956" spans="1:13">
      <c r="A956" s="3">
        <v>45703</v>
      </c>
      <c r="B956" s="4" t="s">
        <v>2</v>
      </c>
      <c r="C956" s="4" t="s">
        <v>26</v>
      </c>
      <c r="D956" s="4" t="s">
        <v>25</v>
      </c>
      <c r="E956" s="4">
        <v>5</v>
      </c>
      <c r="F956" s="4">
        <v>49211</v>
      </c>
      <c r="G956" s="4">
        <v>246055</v>
      </c>
      <c r="H956" s="4">
        <v>133509</v>
      </c>
      <c r="I956" s="4"/>
      <c r="J956" s="4"/>
      <c r="K956" s="4"/>
      <c r="L956" s="6">
        <f t="shared" si="14"/>
        <v>1.84298436809503</v>
      </c>
      <c r="M956" s="4"/>
    </row>
    <row r="957" spans="1:13">
      <c r="A957" s="3">
        <v>45794</v>
      </c>
      <c r="B957" s="4" t="s">
        <v>8</v>
      </c>
      <c r="C957" s="4" t="s">
        <v>24</v>
      </c>
      <c r="D957" s="4" t="s">
        <v>30</v>
      </c>
      <c r="E957" s="4">
        <v>10</v>
      </c>
      <c r="F957" s="4">
        <v>5791</v>
      </c>
      <c r="G957" s="4">
        <v>57910</v>
      </c>
      <c r="H957" s="4">
        <v>169613</v>
      </c>
      <c r="I957" s="4"/>
      <c r="J957" s="4"/>
      <c r="K957" s="4"/>
      <c r="L957" s="6">
        <f t="shared" si="14"/>
        <v>0.341424301203328</v>
      </c>
      <c r="M957" s="4"/>
    </row>
    <row r="958" spans="1:13">
      <c r="A958" s="3">
        <v>45801</v>
      </c>
      <c r="B958" s="4" t="s">
        <v>8</v>
      </c>
      <c r="C958" s="4" t="s">
        <v>28</v>
      </c>
      <c r="D958" s="4" t="s">
        <v>30</v>
      </c>
      <c r="E958" s="4">
        <v>9</v>
      </c>
      <c r="F958" s="4">
        <v>28949</v>
      </c>
      <c r="G958" s="4">
        <v>260541</v>
      </c>
      <c r="H958" s="4">
        <v>152652</v>
      </c>
      <c r="I958" s="4"/>
      <c r="J958" s="4"/>
      <c r="K958" s="4"/>
      <c r="L958" s="6">
        <f t="shared" si="14"/>
        <v>1.70676440531405</v>
      </c>
      <c r="M958" s="4"/>
    </row>
    <row r="959" spans="1:13">
      <c r="A959" s="3">
        <v>45668</v>
      </c>
      <c r="B959" s="4" t="s">
        <v>2</v>
      </c>
      <c r="C959" s="4" t="s">
        <v>28</v>
      </c>
      <c r="D959" s="4" t="s">
        <v>27</v>
      </c>
      <c r="E959" s="4">
        <v>4</v>
      </c>
      <c r="F959" s="4">
        <v>42545</v>
      </c>
      <c r="G959" s="4">
        <v>170180</v>
      </c>
      <c r="H959" s="4">
        <v>143447</v>
      </c>
      <c r="I959" s="4"/>
      <c r="J959" s="4"/>
      <c r="K959" s="4"/>
      <c r="L959" s="6">
        <f t="shared" si="14"/>
        <v>1.18636151331154</v>
      </c>
      <c r="M959" s="4"/>
    </row>
    <row r="960" spans="1:13">
      <c r="A960" s="3">
        <v>45667</v>
      </c>
      <c r="B960" s="4" t="s">
        <v>2</v>
      </c>
      <c r="C960" s="4" t="s">
        <v>26</v>
      </c>
      <c r="D960" s="4" t="s">
        <v>31</v>
      </c>
      <c r="E960" s="4">
        <v>8</v>
      </c>
      <c r="F960" s="4">
        <v>33130</v>
      </c>
      <c r="G960" s="4">
        <v>265040</v>
      </c>
      <c r="H960" s="4">
        <v>99918</v>
      </c>
      <c r="I960" s="4"/>
      <c r="J960" s="4"/>
      <c r="K960" s="4"/>
      <c r="L960" s="6">
        <f t="shared" si="14"/>
        <v>2.6525751115915</v>
      </c>
      <c r="M960" s="4"/>
    </row>
    <row r="961" spans="1:13">
      <c r="A961" s="3">
        <v>45777</v>
      </c>
      <c r="B961" s="4" t="s">
        <v>3</v>
      </c>
      <c r="C961" s="4" t="s">
        <v>24</v>
      </c>
      <c r="D961" s="4" t="s">
        <v>31</v>
      </c>
      <c r="E961" s="4">
        <v>10</v>
      </c>
      <c r="F961" s="4">
        <v>17358</v>
      </c>
      <c r="G961" s="4">
        <v>173580</v>
      </c>
      <c r="H961" s="4">
        <v>48176</v>
      </c>
      <c r="I961" s="4"/>
      <c r="J961" s="4"/>
      <c r="K961" s="4"/>
      <c r="L961" s="6">
        <f t="shared" si="14"/>
        <v>3.60303885752242</v>
      </c>
      <c r="M961" s="4"/>
    </row>
    <row r="962" spans="1:13">
      <c r="A962" s="3">
        <v>45710</v>
      </c>
      <c r="B962" s="4" t="s">
        <v>4</v>
      </c>
      <c r="C962" s="4" t="s">
        <v>22</v>
      </c>
      <c r="D962" s="4" t="s">
        <v>25</v>
      </c>
      <c r="E962" s="4">
        <v>2</v>
      </c>
      <c r="F962" s="4">
        <v>21238</v>
      </c>
      <c r="G962" s="4">
        <v>42476</v>
      </c>
      <c r="H962" s="4">
        <v>165123</v>
      </c>
      <c r="I962" s="4"/>
      <c r="J962" s="4"/>
      <c r="K962" s="4"/>
      <c r="L962" s="6">
        <f t="shared" si="14"/>
        <v>0.257238543388868</v>
      </c>
      <c r="M962" s="4"/>
    </row>
    <row r="963" spans="1:13">
      <c r="A963" s="3">
        <v>45783</v>
      </c>
      <c r="B963" s="4" t="s">
        <v>4</v>
      </c>
      <c r="C963" s="4" t="s">
        <v>24</v>
      </c>
      <c r="D963" s="4" t="s">
        <v>29</v>
      </c>
      <c r="E963" s="4">
        <v>6</v>
      </c>
      <c r="F963" s="4">
        <v>35097</v>
      </c>
      <c r="G963" s="4">
        <v>210582</v>
      </c>
      <c r="H963" s="4">
        <v>179041</v>
      </c>
      <c r="I963" s="4"/>
      <c r="J963" s="4"/>
      <c r="K963" s="4"/>
      <c r="L963" s="6">
        <f t="shared" ref="L963:L1026" si="15">G963/H963</f>
        <v>1.17616635295826</v>
      </c>
      <c r="M963" s="4"/>
    </row>
    <row r="964" spans="1:13">
      <c r="A964" s="3">
        <v>45758</v>
      </c>
      <c r="B964" s="4" t="s">
        <v>8</v>
      </c>
      <c r="C964" s="4" t="s">
        <v>28</v>
      </c>
      <c r="D964" s="4" t="s">
        <v>31</v>
      </c>
      <c r="E964" s="4">
        <v>3</v>
      </c>
      <c r="F964" s="4">
        <v>11542</v>
      </c>
      <c r="G964" s="4">
        <v>34626</v>
      </c>
      <c r="H964" s="4">
        <v>92079</v>
      </c>
      <c r="I964" s="4"/>
      <c r="J964" s="4"/>
      <c r="K964" s="4"/>
      <c r="L964" s="6">
        <f t="shared" si="15"/>
        <v>0.376046655589222</v>
      </c>
      <c r="M964" s="4"/>
    </row>
    <row r="965" spans="1:13">
      <c r="A965" s="3">
        <v>45790</v>
      </c>
      <c r="B965" s="4" t="s">
        <v>5</v>
      </c>
      <c r="C965" s="4" t="s">
        <v>22</v>
      </c>
      <c r="D965" s="4" t="s">
        <v>30</v>
      </c>
      <c r="E965" s="4">
        <v>7</v>
      </c>
      <c r="F965" s="4">
        <v>26367</v>
      </c>
      <c r="G965" s="4">
        <v>184569</v>
      </c>
      <c r="H965" s="4">
        <v>64531</v>
      </c>
      <c r="I965" s="4"/>
      <c r="J965" s="4"/>
      <c r="K965" s="4"/>
      <c r="L965" s="6">
        <f t="shared" si="15"/>
        <v>2.86016023306628</v>
      </c>
      <c r="M965" s="4"/>
    </row>
    <row r="966" spans="1:13">
      <c r="A966" s="3">
        <v>45667</v>
      </c>
      <c r="B966" s="4" t="s">
        <v>4</v>
      </c>
      <c r="C966" s="4" t="s">
        <v>28</v>
      </c>
      <c r="D966" s="4" t="s">
        <v>33</v>
      </c>
      <c r="E966" s="4">
        <v>4</v>
      </c>
      <c r="F966" s="4">
        <v>32201</v>
      </c>
      <c r="G966" s="4">
        <v>128804</v>
      </c>
      <c r="H966" s="4">
        <v>76374</v>
      </c>
      <c r="I966" s="4"/>
      <c r="J966" s="4"/>
      <c r="K966" s="4"/>
      <c r="L966" s="6">
        <f t="shared" si="15"/>
        <v>1.68649016681069</v>
      </c>
      <c r="M966" s="4"/>
    </row>
    <row r="967" spans="1:13">
      <c r="A967" s="3">
        <v>45710</v>
      </c>
      <c r="B967" s="4" t="s">
        <v>8</v>
      </c>
      <c r="C967" s="4" t="s">
        <v>26</v>
      </c>
      <c r="D967" s="4" t="s">
        <v>33</v>
      </c>
      <c r="E967" s="4">
        <v>7</v>
      </c>
      <c r="F967" s="4">
        <v>15993</v>
      </c>
      <c r="G967" s="4">
        <v>111951</v>
      </c>
      <c r="H967" s="4">
        <v>54169</v>
      </c>
      <c r="I967" s="4"/>
      <c r="J967" s="4"/>
      <c r="K967" s="4"/>
      <c r="L967" s="6">
        <f t="shared" si="15"/>
        <v>2.06669866528826</v>
      </c>
      <c r="M967" s="4"/>
    </row>
    <row r="968" spans="1:13">
      <c r="A968" s="3">
        <v>45778</v>
      </c>
      <c r="B968" s="4" t="s">
        <v>8</v>
      </c>
      <c r="C968" s="4" t="s">
        <v>22</v>
      </c>
      <c r="D968" s="4" t="s">
        <v>33</v>
      </c>
      <c r="E968" s="4">
        <v>2</v>
      </c>
      <c r="F968" s="4">
        <v>49907</v>
      </c>
      <c r="G968" s="4">
        <v>99814</v>
      </c>
      <c r="H968" s="4">
        <v>130225</v>
      </c>
      <c r="I968" s="4"/>
      <c r="J968" s="4"/>
      <c r="K968" s="4"/>
      <c r="L968" s="6">
        <f t="shared" si="15"/>
        <v>0.76647341140334</v>
      </c>
      <c r="M968" s="4"/>
    </row>
    <row r="969" spans="1:13">
      <c r="A969" s="3">
        <v>45830</v>
      </c>
      <c r="B969" s="4" t="s">
        <v>6</v>
      </c>
      <c r="C969" s="4" t="s">
        <v>22</v>
      </c>
      <c r="D969" s="4" t="s">
        <v>33</v>
      </c>
      <c r="E969" s="4">
        <v>7</v>
      </c>
      <c r="F969" s="4">
        <v>14963</v>
      </c>
      <c r="G969" s="4">
        <v>104741</v>
      </c>
      <c r="H969" s="4">
        <v>59944</v>
      </c>
      <c r="I969" s="4"/>
      <c r="J969" s="4"/>
      <c r="K969" s="4"/>
      <c r="L969" s="6">
        <f t="shared" si="15"/>
        <v>1.74731415988256</v>
      </c>
      <c r="M969" s="4"/>
    </row>
    <row r="970" spans="1:13">
      <c r="A970" s="3">
        <v>45737</v>
      </c>
      <c r="B970" s="4" t="s">
        <v>4</v>
      </c>
      <c r="C970" s="4" t="s">
        <v>24</v>
      </c>
      <c r="D970" s="4" t="s">
        <v>25</v>
      </c>
      <c r="E970" s="4">
        <v>9</v>
      </c>
      <c r="F970" s="4">
        <v>25497</v>
      </c>
      <c r="G970" s="4">
        <v>229473</v>
      </c>
      <c r="H970" s="4">
        <v>73129</v>
      </c>
      <c r="I970" s="4"/>
      <c r="J970" s="4"/>
      <c r="K970" s="4"/>
      <c r="L970" s="6">
        <f t="shared" si="15"/>
        <v>3.13792066075018</v>
      </c>
      <c r="M970" s="4"/>
    </row>
    <row r="971" spans="1:13">
      <c r="A971" s="3">
        <v>45739</v>
      </c>
      <c r="B971" s="4" t="s">
        <v>7</v>
      </c>
      <c r="C971" s="4" t="s">
        <v>26</v>
      </c>
      <c r="D971" s="4" t="s">
        <v>31</v>
      </c>
      <c r="E971" s="4">
        <v>3</v>
      </c>
      <c r="F971" s="4">
        <v>10258</v>
      </c>
      <c r="G971" s="4">
        <v>30774</v>
      </c>
      <c r="H971" s="4">
        <v>60395</v>
      </c>
      <c r="I971" s="4"/>
      <c r="J971" s="4"/>
      <c r="K971" s="4"/>
      <c r="L971" s="6">
        <f t="shared" si="15"/>
        <v>0.509545492176505</v>
      </c>
      <c r="M971" s="4"/>
    </row>
    <row r="972" spans="1:13">
      <c r="A972" s="3">
        <v>45827</v>
      </c>
      <c r="B972" s="4" t="s">
        <v>5</v>
      </c>
      <c r="C972" s="4" t="s">
        <v>28</v>
      </c>
      <c r="D972" s="4" t="s">
        <v>27</v>
      </c>
      <c r="E972" s="4">
        <v>9</v>
      </c>
      <c r="F972" s="4">
        <v>6537</v>
      </c>
      <c r="G972" s="4">
        <v>58833</v>
      </c>
      <c r="H972" s="4">
        <v>33462</v>
      </c>
      <c r="I972" s="4"/>
      <c r="J972" s="4"/>
      <c r="K972" s="4"/>
      <c r="L972" s="6">
        <f t="shared" si="15"/>
        <v>1.75820333512641</v>
      </c>
      <c r="M972" s="4"/>
    </row>
    <row r="973" spans="1:13">
      <c r="A973" s="3">
        <v>45779</v>
      </c>
      <c r="B973" s="4" t="s">
        <v>6</v>
      </c>
      <c r="C973" s="4" t="s">
        <v>22</v>
      </c>
      <c r="D973" s="4" t="s">
        <v>31</v>
      </c>
      <c r="E973" s="4">
        <v>1</v>
      </c>
      <c r="F973" s="4">
        <v>35618</v>
      </c>
      <c r="G973" s="4">
        <v>35618</v>
      </c>
      <c r="H973" s="4">
        <v>136179</v>
      </c>
      <c r="I973" s="4"/>
      <c r="J973" s="4"/>
      <c r="K973" s="4"/>
      <c r="L973" s="6">
        <f t="shared" si="15"/>
        <v>0.261552809170283</v>
      </c>
      <c r="M973" s="4"/>
    </row>
    <row r="974" spans="1:13">
      <c r="A974" s="3">
        <v>45769</v>
      </c>
      <c r="B974" s="4" t="s">
        <v>6</v>
      </c>
      <c r="C974" s="4" t="s">
        <v>24</v>
      </c>
      <c r="D974" s="4" t="s">
        <v>29</v>
      </c>
      <c r="E974" s="4">
        <v>4</v>
      </c>
      <c r="F974" s="4">
        <v>28133</v>
      </c>
      <c r="G974" s="4">
        <v>112532</v>
      </c>
      <c r="H974" s="4">
        <v>28532</v>
      </c>
      <c r="I974" s="4"/>
      <c r="J974" s="4"/>
      <c r="K974" s="4"/>
      <c r="L974" s="6">
        <f t="shared" si="15"/>
        <v>3.94406280667321</v>
      </c>
      <c r="M974" s="4"/>
    </row>
    <row r="975" spans="1:13">
      <c r="A975" s="3">
        <v>45823</v>
      </c>
      <c r="B975" s="4" t="s">
        <v>2</v>
      </c>
      <c r="C975" s="4" t="s">
        <v>24</v>
      </c>
      <c r="D975" s="4" t="s">
        <v>29</v>
      </c>
      <c r="E975" s="4">
        <v>2</v>
      </c>
      <c r="F975" s="4">
        <v>48960</v>
      </c>
      <c r="G975" s="4">
        <v>97920</v>
      </c>
      <c r="H975" s="4">
        <v>16422</v>
      </c>
      <c r="I975" s="4"/>
      <c r="J975" s="4"/>
      <c r="K975" s="4"/>
      <c r="L975" s="6">
        <f t="shared" si="15"/>
        <v>5.96273291925466</v>
      </c>
      <c r="M975" s="4"/>
    </row>
    <row r="976" spans="1:13">
      <c r="A976" s="3">
        <v>45782</v>
      </c>
      <c r="B976" s="4" t="s">
        <v>6</v>
      </c>
      <c r="C976" s="4" t="s">
        <v>24</v>
      </c>
      <c r="D976" s="4" t="s">
        <v>31</v>
      </c>
      <c r="E976" s="4">
        <v>2</v>
      </c>
      <c r="F976" s="4">
        <v>48264</v>
      </c>
      <c r="G976" s="4">
        <v>96528</v>
      </c>
      <c r="H976" s="4">
        <v>130253</v>
      </c>
      <c r="I976" s="4"/>
      <c r="J976" s="4"/>
      <c r="K976" s="4"/>
      <c r="L976" s="6">
        <f t="shared" si="15"/>
        <v>0.741080819635632</v>
      </c>
      <c r="M976" s="4"/>
    </row>
    <row r="977" spans="1:13">
      <c r="A977" s="3">
        <v>45688</v>
      </c>
      <c r="B977" s="4" t="s">
        <v>2</v>
      </c>
      <c r="C977" s="4" t="s">
        <v>22</v>
      </c>
      <c r="D977" s="4" t="s">
        <v>33</v>
      </c>
      <c r="E977" s="4">
        <v>2</v>
      </c>
      <c r="F977" s="4">
        <v>41578</v>
      </c>
      <c r="G977" s="4">
        <v>83156</v>
      </c>
      <c r="H977" s="4">
        <v>173953</v>
      </c>
      <c r="I977" s="4"/>
      <c r="J977" s="4"/>
      <c r="K977" s="4"/>
      <c r="L977" s="6">
        <f t="shared" si="15"/>
        <v>0.478037170959972</v>
      </c>
      <c r="M977" s="4"/>
    </row>
    <row r="978" spans="1:13">
      <c r="A978" s="3">
        <v>45747</v>
      </c>
      <c r="B978" s="4" t="s">
        <v>8</v>
      </c>
      <c r="C978" s="4" t="s">
        <v>22</v>
      </c>
      <c r="D978" s="4" t="s">
        <v>30</v>
      </c>
      <c r="E978" s="4">
        <v>3</v>
      </c>
      <c r="F978" s="4">
        <v>31162</v>
      </c>
      <c r="G978" s="4">
        <v>93486</v>
      </c>
      <c r="H978" s="4">
        <v>20390</v>
      </c>
      <c r="I978" s="4"/>
      <c r="J978" s="4"/>
      <c r="K978" s="4"/>
      <c r="L978" s="6">
        <f t="shared" si="15"/>
        <v>4.58489455615498</v>
      </c>
      <c r="M978" s="4"/>
    </row>
    <row r="979" spans="1:13">
      <c r="A979" s="3">
        <v>45835</v>
      </c>
      <c r="B979" s="4" t="s">
        <v>8</v>
      </c>
      <c r="C979" s="4" t="s">
        <v>28</v>
      </c>
      <c r="D979" s="4" t="s">
        <v>30</v>
      </c>
      <c r="E979" s="4">
        <v>5</v>
      </c>
      <c r="F979" s="4">
        <v>44666</v>
      </c>
      <c r="G979" s="4">
        <v>223330</v>
      </c>
      <c r="H979" s="4">
        <v>152877</v>
      </c>
      <c r="I979" s="4"/>
      <c r="J979" s="4"/>
      <c r="K979" s="4"/>
      <c r="L979" s="6">
        <f t="shared" si="15"/>
        <v>1.46084760951615</v>
      </c>
      <c r="M979" s="4"/>
    </row>
    <row r="980" spans="1:13">
      <c r="A980" s="3">
        <v>45732</v>
      </c>
      <c r="B980" s="4" t="s">
        <v>3</v>
      </c>
      <c r="C980" s="4" t="s">
        <v>24</v>
      </c>
      <c r="D980" s="4" t="s">
        <v>25</v>
      </c>
      <c r="E980" s="4">
        <v>2</v>
      </c>
      <c r="F980" s="4">
        <v>11652</v>
      </c>
      <c r="G980" s="4">
        <v>23304</v>
      </c>
      <c r="H980" s="4">
        <v>68049</v>
      </c>
      <c r="I980" s="4"/>
      <c r="J980" s="4"/>
      <c r="K980" s="4"/>
      <c r="L980" s="6">
        <f t="shared" si="15"/>
        <v>0.342459110346956</v>
      </c>
      <c r="M980" s="4"/>
    </row>
    <row r="981" spans="1:13">
      <c r="A981" s="3">
        <v>45731</v>
      </c>
      <c r="B981" s="4" t="s">
        <v>5</v>
      </c>
      <c r="C981" s="4" t="s">
        <v>22</v>
      </c>
      <c r="D981" s="4" t="s">
        <v>29</v>
      </c>
      <c r="E981" s="4">
        <v>1</v>
      </c>
      <c r="F981" s="4">
        <v>10895</v>
      </c>
      <c r="G981" s="4">
        <v>10895</v>
      </c>
      <c r="H981" s="4">
        <v>37972</v>
      </c>
      <c r="I981" s="4"/>
      <c r="J981" s="4"/>
      <c r="K981" s="4"/>
      <c r="L981" s="6">
        <f t="shared" si="15"/>
        <v>0.286921942483936</v>
      </c>
      <c r="M981" s="4"/>
    </row>
    <row r="982" spans="1:13">
      <c r="A982" s="3">
        <v>45766</v>
      </c>
      <c r="B982" s="4" t="s">
        <v>3</v>
      </c>
      <c r="C982" s="4" t="s">
        <v>24</v>
      </c>
      <c r="D982" s="4" t="s">
        <v>29</v>
      </c>
      <c r="E982" s="4">
        <v>1</v>
      </c>
      <c r="F982" s="4">
        <v>1761</v>
      </c>
      <c r="G982" s="4">
        <v>1761</v>
      </c>
      <c r="H982" s="4">
        <v>48386</v>
      </c>
      <c r="I982" s="4"/>
      <c r="J982" s="4"/>
      <c r="K982" s="4"/>
      <c r="L982" s="6">
        <f t="shared" si="15"/>
        <v>0.0363948249493655</v>
      </c>
      <c r="M982" s="4"/>
    </row>
    <row r="983" spans="1:13">
      <c r="A983" s="3">
        <v>45713</v>
      </c>
      <c r="B983" s="4" t="s">
        <v>3</v>
      </c>
      <c r="C983" s="4" t="s">
        <v>22</v>
      </c>
      <c r="D983" s="4" t="s">
        <v>32</v>
      </c>
      <c r="E983" s="4">
        <v>3</v>
      </c>
      <c r="F983" s="4">
        <v>31415</v>
      </c>
      <c r="G983" s="4">
        <v>94245</v>
      </c>
      <c r="H983" s="4">
        <v>113494</v>
      </c>
      <c r="I983" s="4"/>
      <c r="J983" s="4"/>
      <c r="K983" s="4"/>
      <c r="L983" s="6">
        <f t="shared" si="15"/>
        <v>0.830396320510335</v>
      </c>
      <c r="M983" s="4"/>
    </row>
    <row r="984" spans="1:13">
      <c r="A984" s="3">
        <v>45781</v>
      </c>
      <c r="B984" s="4" t="s">
        <v>7</v>
      </c>
      <c r="C984" s="4" t="s">
        <v>26</v>
      </c>
      <c r="D984" s="4" t="s">
        <v>32</v>
      </c>
      <c r="E984" s="4">
        <v>4</v>
      </c>
      <c r="F984" s="4">
        <v>28746</v>
      </c>
      <c r="G984" s="4">
        <v>114984</v>
      </c>
      <c r="H984" s="4">
        <v>21512</v>
      </c>
      <c r="I984" s="4"/>
      <c r="J984" s="4"/>
      <c r="K984" s="4"/>
      <c r="L984" s="6">
        <f t="shared" si="15"/>
        <v>5.34510970621049</v>
      </c>
      <c r="M984" s="4"/>
    </row>
    <row r="985" spans="1:13">
      <c r="A985" s="3">
        <v>45707</v>
      </c>
      <c r="B985" s="4" t="s">
        <v>6</v>
      </c>
      <c r="C985" s="4" t="s">
        <v>22</v>
      </c>
      <c r="D985" s="4" t="s">
        <v>23</v>
      </c>
      <c r="E985" s="4">
        <v>10</v>
      </c>
      <c r="F985" s="4">
        <v>14194</v>
      </c>
      <c r="G985" s="4">
        <v>141940</v>
      </c>
      <c r="H985" s="4">
        <v>60709</v>
      </c>
      <c r="I985" s="4"/>
      <c r="J985" s="4"/>
      <c r="K985" s="4"/>
      <c r="L985" s="6">
        <f t="shared" si="15"/>
        <v>2.33803884102851</v>
      </c>
      <c r="M985" s="4"/>
    </row>
    <row r="986" spans="1:13">
      <c r="A986" s="3">
        <v>45814</v>
      </c>
      <c r="B986" s="4" t="s">
        <v>6</v>
      </c>
      <c r="C986" s="4" t="s">
        <v>28</v>
      </c>
      <c r="D986" s="4" t="s">
        <v>31</v>
      </c>
      <c r="E986" s="4">
        <v>8</v>
      </c>
      <c r="F986" s="4">
        <v>526</v>
      </c>
      <c r="G986" s="4">
        <v>4208</v>
      </c>
      <c r="H986" s="4">
        <v>153353</v>
      </c>
      <c r="I986" s="4"/>
      <c r="J986" s="4"/>
      <c r="K986" s="4"/>
      <c r="L986" s="6">
        <f t="shared" si="15"/>
        <v>0.0274399587878946</v>
      </c>
      <c r="M986" s="4"/>
    </row>
    <row r="987" spans="1:13">
      <c r="A987" s="3">
        <v>45710</v>
      </c>
      <c r="B987" s="4" t="s">
        <v>6</v>
      </c>
      <c r="C987" s="4" t="s">
        <v>26</v>
      </c>
      <c r="D987" s="4" t="s">
        <v>25</v>
      </c>
      <c r="E987" s="4">
        <v>10</v>
      </c>
      <c r="F987" s="4">
        <v>24844</v>
      </c>
      <c r="G987" s="4">
        <v>248440</v>
      </c>
      <c r="H987" s="4">
        <v>197946</v>
      </c>
      <c r="I987" s="4"/>
      <c r="J987" s="4"/>
      <c r="K987" s="4"/>
      <c r="L987" s="6">
        <f t="shared" si="15"/>
        <v>1.25508977195801</v>
      </c>
      <c r="M987" s="4"/>
    </row>
    <row r="988" spans="1:13">
      <c r="A988" s="3">
        <v>45703</v>
      </c>
      <c r="B988" s="4" t="s">
        <v>7</v>
      </c>
      <c r="C988" s="4" t="s">
        <v>24</v>
      </c>
      <c r="D988" s="4" t="s">
        <v>32</v>
      </c>
      <c r="E988" s="4">
        <v>3</v>
      </c>
      <c r="F988" s="4">
        <v>29421</v>
      </c>
      <c r="G988" s="4">
        <v>88263</v>
      </c>
      <c r="H988" s="4">
        <v>18522</v>
      </c>
      <c r="I988" s="4"/>
      <c r="J988" s="4"/>
      <c r="K988" s="4"/>
      <c r="L988" s="6">
        <f t="shared" si="15"/>
        <v>4.76530612244898</v>
      </c>
      <c r="M988" s="4"/>
    </row>
    <row r="989" spans="1:13">
      <c r="A989" s="3">
        <v>45724</v>
      </c>
      <c r="B989" s="4" t="s">
        <v>5</v>
      </c>
      <c r="C989" s="4" t="s">
        <v>26</v>
      </c>
      <c r="D989" s="4" t="s">
        <v>29</v>
      </c>
      <c r="E989" s="4">
        <v>1</v>
      </c>
      <c r="F989" s="4">
        <v>4889</v>
      </c>
      <c r="G989" s="4">
        <v>4889</v>
      </c>
      <c r="H989" s="4">
        <v>89758</v>
      </c>
      <c r="I989" s="4"/>
      <c r="J989" s="4"/>
      <c r="K989" s="4"/>
      <c r="L989" s="6">
        <f t="shared" si="15"/>
        <v>0.054468682457274</v>
      </c>
      <c r="M989" s="4"/>
    </row>
    <row r="990" spans="1:13">
      <c r="A990" s="3">
        <v>45749</v>
      </c>
      <c r="B990" s="4" t="s">
        <v>8</v>
      </c>
      <c r="C990" s="4" t="s">
        <v>22</v>
      </c>
      <c r="D990" s="4" t="s">
        <v>33</v>
      </c>
      <c r="E990" s="4">
        <v>4</v>
      </c>
      <c r="F990" s="4">
        <v>1105</v>
      </c>
      <c r="G990" s="4">
        <v>4420</v>
      </c>
      <c r="H990" s="4">
        <v>51135</v>
      </c>
      <c r="I990" s="4"/>
      <c r="J990" s="4"/>
      <c r="K990" s="4"/>
      <c r="L990" s="6">
        <f t="shared" si="15"/>
        <v>0.0864378605651706</v>
      </c>
      <c r="M990" s="4"/>
    </row>
    <row r="991" spans="1:13">
      <c r="A991" s="3">
        <v>45700</v>
      </c>
      <c r="B991" s="4" t="s">
        <v>5</v>
      </c>
      <c r="C991" s="4" t="s">
        <v>22</v>
      </c>
      <c r="D991" s="4" t="s">
        <v>31</v>
      </c>
      <c r="E991" s="4">
        <v>6</v>
      </c>
      <c r="F991" s="4">
        <v>9382</v>
      </c>
      <c r="G991" s="4">
        <v>56292</v>
      </c>
      <c r="H991" s="4">
        <v>23653</v>
      </c>
      <c r="I991" s="4"/>
      <c r="J991" s="4"/>
      <c r="K991" s="4"/>
      <c r="L991" s="6">
        <f t="shared" si="15"/>
        <v>2.37990952521879</v>
      </c>
      <c r="M991" s="4"/>
    </row>
    <row r="992" spans="1:13">
      <c r="A992" s="3">
        <v>45699</v>
      </c>
      <c r="B992" s="4" t="s">
        <v>7</v>
      </c>
      <c r="C992" s="4" t="s">
        <v>28</v>
      </c>
      <c r="D992" s="4" t="s">
        <v>32</v>
      </c>
      <c r="E992" s="4">
        <v>6</v>
      </c>
      <c r="F992" s="4">
        <v>17695</v>
      </c>
      <c r="G992" s="4">
        <v>106170</v>
      </c>
      <c r="H992" s="4">
        <v>20262</v>
      </c>
      <c r="I992" s="4"/>
      <c r="J992" s="4"/>
      <c r="K992" s="4"/>
      <c r="L992" s="6">
        <f t="shared" si="15"/>
        <v>5.2398578620077</v>
      </c>
      <c r="M992" s="4"/>
    </row>
    <row r="993" spans="1:13">
      <c r="A993" s="3">
        <v>45759</v>
      </c>
      <c r="B993" s="4" t="s">
        <v>3</v>
      </c>
      <c r="C993" s="4" t="s">
        <v>26</v>
      </c>
      <c r="D993" s="4" t="s">
        <v>25</v>
      </c>
      <c r="E993" s="4">
        <v>4</v>
      </c>
      <c r="F993" s="4">
        <v>48509</v>
      </c>
      <c r="G993" s="4">
        <v>194036</v>
      </c>
      <c r="H993" s="4">
        <v>66325</v>
      </c>
      <c r="I993" s="4"/>
      <c r="J993" s="4"/>
      <c r="K993" s="4"/>
      <c r="L993" s="6">
        <f t="shared" si="15"/>
        <v>2.92553335846212</v>
      </c>
      <c r="M993" s="4"/>
    </row>
    <row r="994" spans="1:13">
      <c r="A994" s="3">
        <v>45826</v>
      </c>
      <c r="B994" s="4" t="s">
        <v>5</v>
      </c>
      <c r="C994" s="4" t="s">
        <v>28</v>
      </c>
      <c r="D994" s="4" t="s">
        <v>33</v>
      </c>
      <c r="E994" s="4">
        <v>10</v>
      </c>
      <c r="F994" s="4">
        <v>42934</v>
      </c>
      <c r="G994" s="4">
        <v>429340</v>
      </c>
      <c r="H994" s="4">
        <v>164670</v>
      </c>
      <c r="I994" s="4"/>
      <c r="J994" s="4"/>
      <c r="K994" s="4"/>
      <c r="L994" s="6">
        <f t="shared" si="15"/>
        <v>2.60727515637335</v>
      </c>
      <c r="M994" s="4"/>
    </row>
    <row r="995" spans="1:13">
      <c r="A995" s="3">
        <v>45837</v>
      </c>
      <c r="B995" s="4" t="s">
        <v>7</v>
      </c>
      <c r="C995" s="4" t="s">
        <v>26</v>
      </c>
      <c r="D995" s="4" t="s">
        <v>29</v>
      </c>
      <c r="E995" s="4">
        <v>7</v>
      </c>
      <c r="F995" s="4">
        <v>3140</v>
      </c>
      <c r="G995" s="4">
        <v>21980</v>
      </c>
      <c r="H995" s="4">
        <v>20165</v>
      </c>
      <c r="I995" s="4"/>
      <c r="J995" s="4"/>
      <c r="K995" s="4"/>
      <c r="L995" s="6">
        <f t="shared" si="15"/>
        <v>1.09000743863129</v>
      </c>
      <c r="M995" s="4"/>
    </row>
    <row r="996" spans="1:13">
      <c r="A996" s="3">
        <v>45694</v>
      </c>
      <c r="B996" s="4" t="s">
        <v>8</v>
      </c>
      <c r="C996" s="4" t="s">
        <v>22</v>
      </c>
      <c r="D996" s="4" t="s">
        <v>32</v>
      </c>
      <c r="E996" s="4">
        <v>8</v>
      </c>
      <c r="F996" s="4">
        <v>6856</v>
      </c>
      <c r="G996" s="4">
        <v>54848</v>
      </c>
      <c r="H996" s="4">
        <v>152074</v>
      </c>
      <c r="I996" s="4"/>
      <c r="J996" s="4"/>
      <c r="K996" s="4"/>
      <c r="L996" s="6">
        <f t="shared" si="15"/>
        <v>0.360666517616424</v>
      </c>
      <c r="M996" s="4"/>
    </row>
    <row r="997" spans="1:13">
      <c r="A997" s="3">
        <v>45771</v>
      </c>
      <c r="B997" s="4" t="s">
        <v>3</v>
      </c>
      <c r="C997" s="4" t="s">
        <v>26</v>
      </c>
      <c r="D997" s="4" t="s">
        <v>30</v>
      </c>
      <c r="E997" s="4">
        <v>8</v>
      </c>
      <c r="F997" s="4">
        <v>23236</v>
      </c>
      <c r="G997" s="4">
        <v>185888</v>
      </c>
      <c r="H997" s="4">
        <v>132584</v>
      </c>
      <c r="I997" s="4"/>
      <c r="J997" s="4"/>
      <c r="K997" s="4"/>
      <c r="L997" s="6">
        <f t="shared" si="15"/>
        <v>1.40203946177518</v>
      </c>
      <c r="M997" s="4"/>
    </row>
    <row r="998" spans="1:13">
      <c r="A998" s="3">
        <v>45789</v>
      </c>
      <c r="B998" s="4" t="s">
        <v>4</v>
      </c>
      <c r="C998" s="4" t="s">
        <v>28</v>
      </c>
      <c r="D998" s="4" t="s">
        <v>27</v>
      </c>
      <c r="E998" s="4">
        <v>9</v>
      </c>
      <c r="F998" s="4">
        <v>32020</v>
      </c>
      <c r="G998" s="4">
        <v>288180</v>
      </c>
      <c r="H998" s="4">
        <v>11832</v>
      </c>
      <c r="I998" s="4"/>
      <c r="J998" s="4"/>
      <c r="K998" s="4"/>
      <c r="L998" s="6">
        <f t="shared" si="15"/>
        <v>24.3559837728195</v>
      </c>
      <c r="M998" s="4"/>
    </row>
    <row r="999" spans="1:13">
      <c r="A999" s="3">
        <v>45716</v>
      </c>
      <c r="B999" s="4" t="s">
        <v>2</v>
      </c>
      <c r="C999" s="4" t="s">
        <v>24</v>
      </c>
      <c r="D999" s="4" t="s">
        <v>31</v>
      </c>
      <c r="E999" s="4">
        <v>9</v>
      </c>
      <c r="F999" s="4">
        <v>23603</v>
      </c>
      <c r="G999" s="4">
        <v>212427</v>
      </c>
      <c r="H999" s="4">
        <v>168080</v>
      </c>
      <c r="I999" s="4"/>
      <c r="J999" s="4"/>
      <c r="K999" s="4"/>
      <c r="L999" s="6">
        <f t="shared" si="15"/>
        <v>1.26384459781057</v>
      </c>
      <c r="M999" s="4"/>
    </row>
    <row r="1000" spans="1:13">
      <c r="A1000" s="3">
        <v>45838</v>
      </c>
      <c r="B1000" s="4" t="s">
        <v>2</v>
      </c>
      <c r="C1000" s="4" t="s">
        <v>28</v>
      </c>
      <c r="D1000" s="4" t="s">
        <v>27</v>
      </c>
      <c r="E1000" s="4">
        <v>9</v>
      </c>
      <c r="F1000" s="4">
        <v>49262</v>
      </c>
      <c r="G1000" s="4">
        <v>443358</v>
      </c>
      <c r="H1000" s="4">
        <v>50064</v>
      </c>
      <c r="I1000" s="4"/>
      <c r="J1000" s="4"/>
      <c r="K1000" s="4"/>
      <c r="L1000" s="6">
        <f t="shared" si="15"/>
        <v>8.85582454458293</v>
      </c>
      <c r="M1000" s="4"/>
    </row>
    <row r="1001" spans="1:13">
      <c r="A1001" s="3">
        <v>45769</v>
      </c>
      <c r="B1001" s="4" t="s">
        <v>8</v>
      </c>
      <c r="C1001" s="4" t="s">
        <v>28</v>
      </c>
      <c r="D1001" s="4" t="s">
        <v>32</v>
      </c>
      <c r="E1001" s="4">
        <v>8</v>
      </c>
      <c r="F1001" s="4">
        <v>17662</v>
      </c>
      <c r="G1001" s="4">
        <v>141296</v>
      </c>
      <c r="H1001" s="4">
        <v>175339</v>
      </c>
      <c r="I1001" s="4"/>
      <c r="J1001" s="4"/>
      <c r="K1001" s="4"/>
      <c r="L1001" s="6">
        <f t="shared" si="15"/>
        <v>0.805844678023714</v>
      </c>
      <c r="M1001" s="4"/>
    </row>
    <row r="1002" spans="1:13">
      <c r="A1002" s="3">
        <v>45689</v>
      </c>
      <c r="B1002" s="4" t="s">
        <v>3</v>
      </c>
      <c r="C1002" s="4" t="s">
        <v>22</v>
      </c>
      <c r="D1002" s="4" t="s">
        <v>33</v>
      </c>
      <c r="E1002" s="4">
        <v>6</v>
      </c>
      <c r="F1002" s="4">
        <v>44493</v>
      </c>
      <c r="G1002" s="4">
        <v>266958</v>
      </c>
      <c r="H1002" s="4">
        <v>103085</v>
      </c>
      <c r="I1002" s="4"/>
      <c r="J1002" s="4"/>
      <c r="K1002" s="4"/>
      <c r="L1002" s="6">
        <f t="shared" si="15"/>
        <v>2.58968812145317</v>
      </c>
      <c r="M1002" s="4"/>
    </row>
    <row r="1003" spans="1:13">
      <c r="A1003" s="3">
        <v>45795</v>
      </c>
      <c r="B1003" s="4" t="s">
        <v>5</v>
      </c>
      <c r="C1003" s="4" t="s">
        <v>26</v>
      </c>
      <c r="D1003" s="4" t="s">
        <v>30</v>
      </c>
      <c r="E1003" s="4">
        <v>5</v>
      </c>
      <c r="F1003" s="4">
        <v>26833</v>
      </c>
      <c r="G1003" s="4">
        <v>134165</v>
      </c>
      <c r="H1003" s="4">
        <v>91073</v>
      </c>
      <c r="I1003" s="4"/>
      <c r="J1003" s="4"/>
      <c r="K1003" s="4"/>
      <c r="L1003" s="6">
        <f t="shared" si="15"/>
        <v>1.47315889451319</v>
      </c>
      <c r="M1003" s="4"/>
    </row>
    <row r="1004" spans="1:13">
      <c r="A1004" s="3">
        <v>45745</v>
      </c>
      <c r="B1004" s="4" t="s">
        <v>2</v>
      </c>
      <c r="C1004" s="4" t="s">
        <v>26</v>
      </c>
      <c r="D1004" s="4" t="s">
        <v>30</v>
      </c>
      <c r="E1004" s="4">
        <v>5</v>
      </c>
      <c r="F1004" s="4">
        <v>34787</v>
      </c>
      <c r="G1004" s="4">
        <v>173935</v>
      </c>
      <c r="H1004" s="4">
        <v>140495</v>
      </c>
      <c r="I1004" s="4"/>
      <c r="J1004" s="4"/>
      <c r="K1004" s="4"/>
      <c r="L1004" s="6">
        <f t="shared" si="15"/>
        <v>1.23801558774334</v>
      </c>
      <c r="M1004" s="4"/>
    </row>
    <row r="1005" spans="1:13">
      <c r="A1005" s="3">
        <v>45778</v>
      </c>
      <c r="B1005" s="4" t="s">
        <v>2</v>
      </c>
      <c r="C1005" s="4" t="s">
        <v>28</v>
      </c>
      <c r="D1005" s="4" t="s">
        <v>31</v>
      </c>
      <c r="E1005" s="4">
        <v>1</v>
      </c>
      <c r="F1005" s="4">
        <v>35317</v>
      </c>
      <c r="G1005" s="4">
        <v>35317</v>
      </c>
      <c r="H1005" s="4">
        <v>15308</v>
      </c>
      <c r="I1005" s="4"/>
      <c r="J1005" s="4"/>
      <c r="K1005" s="4"/>
      <c r="L1005" s="6">
        <f t="shared" si="15"/>
        <v>2.30709432976222</v>
      </c>
      <c r="M1005" s="4"/>
    </row>
    <row r="1006" spans="1:13">
      <c r="A1006" s="3">
        <v>45823</v>
      </c>
      <c r="B1006" s="4" t="s">
        <v>6</v>
      </c>
      <c r="C1006" s="4" t="s">
        <v>22</v>
      </c>
      <c r="D1006" s="4" t="s">
        <v>30</v>
      </c>
      <c r="E1006" s="4">
        <v>9</v>
      </c>
      <c r="F1006" s="4">
        <v>22806</v>
      </c>
      <c r="G1006" s="4">
        <v>205254</v>
      </c>
      <c r="H1006" s="4">
        <v>155809</v>
      </c>
      <c r="I1006" s="4"/>
      <c r="J1006" s="4"/>
      <c r="K1006" s="4"/>
      <c r="L1006" s="6">
        <f t="shared" si="15"/>
        <v>1.3173436707764</v>
      </c>
      <c r="M1006" s="4"/>
    </row>
    <row r="1007" spans="1:13">
      <c r="A1007" s="3">
        <v>45714</v>
      </c>
      <c r="B1007" s="4" t="s">
        <v>8</v>
      </c>
      <c r="C1007" s="4" t="s">
        <v>22</v>
      </c>
      <c r="D1007" s="4" t="s">
        <v>23</v>
      </c>
      <c r="E1007" s="4">
        <v>2</v>
      </c>
      <c r="F1007" s="4">
        <v>43566</v>
      </c>
      <c r="G1007" s="4">
        <v>87132</v>
      </c>
      <c r="H1007" s="4">
        <v>145284</v>
      </c>
      <c r="I1007" s="4"/>
      <c r="J1007" s="4"/>
      <c r="K1007" s="4"/>
      <c r="L1007" s="6">
        <f t="shared" si="15"/>
        <v>0.599735690096638</v>
      </c>
      <c r="M1007" s="4"/>
    </row>
    <row r="1008" spans="1:13">
      <c r="A1008" s="3">
        <v>45797</v>
      </c>
      <c r="B1008" s="4" t="s">
        <v>6</v>
      </c>
      <c r="C1008" s="4" t="s">
        <v>22</v>
      </c>
      <c r="D1008" s="4" t="s">
        <v>27</v>
      </c>
      <c r="E1008" s="4">
        <v>10</v>
      </c>
      <c r="F1008" s="4">
        <v>14253</v>
      </c>
      <c r="G1008" s="4">
        <v>142530</v>
      </c>
      <c r="H1008" s="4">
        <v>26792</v>
      </c>
      <c r="I1008" s="4"/>
      <c r="J1008" s="4"/>
      <c r="K1008" s="4"/>
      <c r="L1008" s="6">
        <f t="shared" si="15"/>
        <v>5.31987160346372</v>
      </c>
      <c r="M1008" s="4"/>
    </row>
    <row r="1009" spans="1:13">
      <c r="A1009" s="3">
        <v>45837</v>
      </c>
      <c r="B1009" s="4" t="s">
        <v>7</v>
      </c>
      <c r="C1009" s="4" t="s">
        <v>28</v>
      </c>
      <c r="D1009" s="4" t="s">
        <v>23</v>
      </c>
      <c r="E1009" s="4">
        <v>4</v>
      </c>
      <c r="F1009" s="4">
        <v>7104</v>
      </c>
      <c r="G1009" s="4">
        <v>28416</v>
      </c>
      <c r="H1009" s="4">
        <v>101833</v>
      </c>
      <c r="I1009" s="4"/>
      <c r="J1009" s="4"/>
      <c r="K1009" s="4"/>
      <c r="L1009" s="6">
        <f t="shared" si="15"/>
        <v>0.279045103257294</v>
      </c>
      <c r="M1009" s="4"/>
    </row>
    <row r="1010" spans="1:13">
      <c r="A1010" s="3">
        <v>45838</v>
      </c>
      <c r="B1010" s="4" t="s">
        <v>6</v>
      </c>
      <c r="C1010" s="4" t="s">
        <v>28</v>
      </c>
      <c r="D1010" s="4" t="s">
        <v>27</v>
      </c>
      <c r="E1010" s="4">
        <v>6</v>
      </c>
      <c r="F1010" s="4">
        <v>8812</v>
      </c>
      <c r="G1010" s="4">
        <v>52872</v>
      </c>
      <c r="H1010" s="4">
        <v>170275</v>
      </c>
      <c r="I1010" s="4"/>
      <c r="J1010" s="4"/>
      <c r="K1010" s="4"/>
      <c r="L1010" s="6">
        <f t="shared" si="15"/>
        <v>0.31050946997504</v>
      </c>
      <c r="M1010" s="4"/>
    </row>
    <row r="1011" spans="1:13">
      <c r="A1011" s="3">
        <v>45739</v>
      </c>
      <c r="B1011" s="4" t="s">
        <v>3</v>
      </c>
      <c r="C1011" s="4" t="s">
        <v>24</v>
      </c>
      <c r="D1011" s="4" t="s">
        <v>23</v>
      </c>
      <c r="E1011" s="4">
        <v>9</v>
      </c>
      <c r="F1011" s="4">
        <v>15277</v>
      </c>
      <c r="G1011" s="4">
        <v>137493</v>
      </c>
      <c r="H1011" s="4">
        <v>25453</v>
      </c>
      <c r="I1011" s="4"/>
      <c r="J1011" s="4"/>
      <c r="K1011" s="4"/>
      <c r="L1011" s="6">
        <f t="shared" si="15"/>
        <v>5.4018386830629</v>
      </c>
      <c r="M1011" s="4"/>
    </row>
    <row r="1012" spans="1:13">
      <c r="A1012" s="3">
        <v>45766</v>
      </c>
      <c r="B1012" s="4" t="s">
        <v>4</v>
      </c>
      <c r="C1012" s="4" t="s">
        <v>22</v>
      </c>
      <c r="D1012" s="4" t="s">
        <v>29</v>
      </c>
      <c r="E1012" s="4">
        <v>9</v>
      </c>
      <c r="F1012" s="4">
        <v>25286</v>
      </c>
      <c r="G1012" s="4">
        <v>227574</v>
      </c>
      <c r="H1012" s="4">
        <v>33272</v>
      </c>
      <c r="I1012" s="4"/>
      <c r="J1012" s="4"/>
      <c r="K1012" s="4"/>
      <c r="L1012" s="6">
        <f t="shared" si="15"/>
        <v>6.83980524164463</v>
      </c>
      <c r="M1012" s="4"/>
    </row>
    <row r="1013" spans="1:13">
      <c r="A1013" s="3">
        <v>45691</v>
      </c>
      <c r="B1013" s="4" t="s">
        <v>2</v>
      </c>
      <c r="C1013" s="4" t="s">
        <v>22</v>
      </c>
      <c r="D1013" s="4" t="s">
        <v>32</v>
      </c>
      <c r="E1013" s="4">
        <v>8</v>
      </c>
      <c r="F1013" s="4">
        <v>23336</v>
      </c>
      <c r="G1013" s="4">
        <v>186688</v>
      </c>
      <c r="H1013" s="4">
        <v>111457</v>
      </c>
      <c r="I1013" s="4"/>
      <c r="J1013" s="4"/>
      <c r="K1013" s="4"/>
      <c r="L1013" s="6">
        <f t="shared" si="15"/>
        <v>1.67497779412688</v>
      </c>
      <c r="M1013" s="4"/>
    </row>
    <row r="1014" spans="1:13">
      <c r="A1014" s="3">
        <v>45687</v>
      </c>
      <c r="B1014" s="4" t="s">
        <v>2</v>
      </c>
      <c r="C1014" s="4" t="s">
        <v>26</v>
      </c>
      <c r="D1014" s="4" t="s">
        <v>27</v>
      </c>
      <c r="E1014" s="4">
        <v>1</v>
      </c>
      <c r="F1014" s="4">
        <v>24168</v>
      </c>
      <c r="G1014" s="4">
        <v>24168</v>
      </c>
      <c r="H1014" s="4">
        <v>140659</v>
      </c>
      <c r="I1014" s="4"/>
      <c r="J1014" s="4"/>
      <c r="K1014" s="4"/>
      <c r="L1014" s="6">
        <f t="shared" si="15"/>
        <v>0.171819791126057</v>
      </c>
      <c r="M1014" s="4"/>
    </row>
    <row r="1015" spans="1:13">
      <c r="A1015" s="3">
        <v>45725</v>
      </c>
      <c r="B1015" s="4" t="s">
        <v>5</v>
      </c>
      <c r="C1015" s="4" t="s">
        <v>26</v>
      </c>
      <c r="D1015" s="4" t="s">
        <v>23</v>
      </c>
      <c r="E1015" s="4">
        <v>6</v>
      </c>
      <c r="F1015" s="4">
        <v>45660</v>
      </c>
      <c r="G1015" s="4">
        <v>273960</v>
      </c>
      <c r="H1015" s="4">
        <v>198745</v>
      </c>
      <c r="I1015" s="4"/>
      <c r="J1015" s="4"/>
      <c r="K1015" s="4"/>
      <c r="L1015" s="6">
        <f t="shared" si="15"/>
        <v>1.37844977232132</v>
      </c>
      <c r="M1015" s="4"/>
    </row>
    <row r="1016" spans="1:13">
      <c r="A1016" s="3">
        <v>45810</v>
      </c>
      <c r="B1016" s="4" t="s">
        <v>2</v>
      </c>
      <c r="C1016" s="4" t="s">
        <v>26</v>
      </c>
      <c r="D1016" s="4" t="s">
        <v>33</v>
      </c>
      <c r="E1016" s="4">
        <v>6</v>
      </c>
      <c r="F1016" s="4">
        <v>1699</v>
      </c>
      <c r="G1016" s="4">
        <v>10194</v>
      </c>
      <c r="H1016" s="4">
        <v>92517</v>
      </c>
      <c r="I1016" s="4"/>
      <c r="J1016" s="4"/>
      <c r="K1016" s="4"/>
      <c r="L1016" s="6">
        <f t="shared" si="15"/>
        <v>0.110185155160673</v>
      </c>
      <c r="M1016" s="4"/>
    </row>
    <row r="1017" spans="1:13">
      <c r="A1017" s="3">
        <v>45692</v>
      </c>
      <c r="B1017" s="4" t="s">
        <v>8</v>
      </c>
      <c r="C1017" s="4" t="s">
        <v>22</v>
      </c>
      <c r="D1017" s="4" t="s">
        <v>29</v>
      </c>
      <c r="E1017" s="4">
        <v>9</v>
      </c>
      <c r="F1017" s="4">
        <v>3242</v>
      </c>
      <c r="G1017" s="4">
        <v>29178</v>
      </c>
      <c r="H1017" s="4">
        <v>34911</v>
      </c>
      <c r="I1017" s="4"/>
      <c r="J1017" s="4"/>
      <c r="K1017" s="4"/>
      <c r="L1017" s="6">
        <f t="shared" si="15"/>
        <v>0.835782418149007</v>
      </c>
      <c r="M1017" s="4"/>
    </row>
    <row r="1018" spans="1:13">
      <c r="A1018" s="3">
        <v>45825</v>
      </c>
      <c r="B1018" s="4" t="s">
        <v>5</v>
      </c>
      <c r="C1018" s="4" t="s">
        <v>28</v>
      </c>
      <c r="D1018" s="4" t="s">
        <v>25</v>
      </c>
      <c r="E1018" s="4">
        <v>2</v>
      </c>
      <c r="F1018" s="4">
        <v>33934</v>
      </c>
      <c r="G1018" s="4">
        <v>67868</v>
      </c>
      <c r="H1018" s="4">
        <v>157469</v>
      </c>
      <c r="I1018" s="4"/>
      <c r="J1018" s="4"/>
      <c r="K1018" s="4"/>
      <c r="L1018" s="6">
        <f t="shared" si="15"/>
        <v>0.430992766830297</v>
      </c>
      <c r="M1018" s="4"/>
    </row>
    <row r="1019" spans="1:13">
      <c r="A1019" s="3">
        <v>45772</v>
      </c>
      <c r="B1019" s="4" t="s">
        <v>5</v>
      </c>
      <c r="C1019" s="4" t="s">
        <v>26</v>
      </c>
      <c r="D1019" s="4" t="s">
        <v>33</v>
      </c>
      <c r="E1019" s="4">
        <v>9</v>
      </c>
      <c r="F1019" s="4">
        <v>5332</v>
      </c>
      <c r="G1019" s="4">
        <v>47988</v>
      </c>
      <c r="H1019" s="4">
        <v>153967</v>
      </c>
      <c r="I1019" s="4"/>
      <c r="J1019" s="4"/>
      <c r="K1019" s="4"/>
      <c r="L1019" s="6">
        <f t="shared" si="15"/>
        <v>0.311677177577013</v>
      </c>
      <c r="M1019" s="4"/>
    </row>
    <row r="1020" spans="1:13">
      <c r="A1020" s="3">
        <v>45745</v>
      </c>
      <c r="B1020" s="4" t="s">
        <v>4</v>
      </c>
      <c r="C1020" s="4" t="s">
        <v>26</v>
      </c>
      <c r="D1020" s="4" t="s">
        <v>29</v>
      </c>
      <c r="E1020" s="4">
        <v>10</v>
      </c>
      <c r="F1020" s="4">
        <v>22679</v>
      </c>
      <c r="G1020" s="4">
        <v>226790</v>
      </c>
      <c r="H1020" s="4">
        <v>73520</v>
      </c>
      <c r="I1020" s="4"/>
      <c r="J1020" s="4"/>
      <c r="K1020" s="4"/>
      <c r="L1020" s="6">
        <f t="shared" si="15"/>
        <v>3.08473884657236</v>
      </c>
      <c r="M1020" s="4"/>
    </row>
    <row r="1021" spans="1:13">
      <c r="A1021" s="3">
        <v>45701</v>
      </c>
      <c r="B1021" s="4" t="s">
        <v>8</v>
      </c>
      <c r="C1021" s="4" t="s">
        <v>28</v>
      </c>
      <c r="D1021" s="4" t="s">
        <v>23</v>
      </c>
      <c r="E1021" s="4">
        <v>8</v>
      </c>
      <c r="F1021" s="4">
        <v>14089</v>
      </c>
      <c r="G1021" s="4">
        <v>112712</v>
      </c>
      <c r="H1021" s="4">
        <v>26246</v>
      </c>
      <c r="I1021" s="4"/>
      <c r="J1021" s="4"/>
      <c r="K1021" s="4"/>
      <c r="L1021" s="6">
        <f t="shared" si="15"/>
        <v>4.29444486778938</v>
      </c>
      <c r="M1021" s="4"/>
    </row>
    <row r="1022" spans="1:13">
      <c r="A1022" s="3">
        <v>45818</v>
      </c>
      <c r="B1022" s="4" t="s">
        <v>6</v>
      </c>
      <c r="C1022" s="4" t="s">
        <v>26</v>
      </c>
      <c r="D1022" s="4" t="s">
        <v>33</v>
      </c>
      <c r="E1022" s="4">
        <v>5</v>
      </c>
      <c r="F1022" s="4">
        <v>23290</v>
      </c>
      <c r="G1022" s="4">
        <v>116450</v>
      </c>
      <c r="H1022" s="4">
        <v>15835</v>
      </c>
      <c r="I1022" s="4"/>
      <c r="J1022" s="4"/>
      <c r="K1022" s="4"/>
      <c r="L1022" s="6">
        <f t="shared" si="15"/>
        <v>7.35396274076413</v>
      </c>
      <c r="M1022" s="4"/>
    </row>
    <row r="1023" spans="1:13">
      <c r="A1023" s="3">
        <v>45778</v>
      </c>
      <c r="B1023" s="4" t="s">
        <v>5</v>
      </c>
      <c r="C1023" s="4" t="s">
        <v>28</v>
      </c>
      <c r="D1023" s="4" t="s">
        <v>23</v>
      </c>
      <c r="E1023" s="4">
        <v>10</v>
      </c>
      <c r="F1023" s="4">
        <v>31584</v>
      </c>
      <c r="G1023" s="4">
        <v>315840</v>
      </c>
      <c r="H1023" s="4">
        <v>162733</v>
      </c>
      <c r="I1023" s="4"/>
      <c r="J1023" s="4"/>
      <c r="K1023" s="4"/>
      <c r="L1023" s="6">
        <f t="shared" si="15"/>
        <v>1.9408478919457</v>
      </c>
      <c r="M1023" s="4"/>
    </row>
    <row r="1024" spans="1:13">
      <c r="A1024" s="3">
        <v>45678</v>
      </c>
      <c r="B1024" s="4" t="s">
        <v>6</v>
      </c>
      <c r="C1024" s="4" t="s">
        <v>24</v>
      </c>
      <c r="D1024" s="4" t="s">
        <v>32</v>
      </c>
      <c r="E1024" s="4">
        <v>3</v>
      </c>
      <c r="F1024" s="4">
        <v>5681</v>
      </c>
      <c r="G1024" s="4">
        <v>17043</v>
      </c>
      <c r="H1024" s="4">
        <v>167786</v>
      </c>
      <c r="I1024" s="4"/>
      <c r="J1024" s="4"/>
      <c r="K1024" s="4"/>
      <c r="L1024" s="6">
        <f t="shared" si="15"/>
        <v>0.101575816814275</v>
      </c>
      <c r="M1024" s="4"/>
    </row>
    <row r="1025" spans="1:13">
      <c r="A1025" s="3">
        <v>45715</v>
      </c>
      <c r="B1025" s="4" t="s">
        <v>6</v>
      </c>
      <c r="C1025" s="4" t="s">
        <v>22</v>
      </c>
      <c r="D1025" s="4" t="s">
        <v>29</v>
      </c>
      <c r="E1025" s="4">
        <v>8</v>
      </c>
      <c r="F1025" s="4">
        <v>27034</v>
      </c>
      <c r="G1025" s="4">
        <v>216272</v>
      </c>
      <c r="H1025" s="4">
        <v>68995</v>
      </c>
      <c r="I1025" s="4"/>
      <c r="J1025" s="4"/>
      <c r="K1025" s="4"/>
      <c r="L1025" s="6">
        <f t="shared" si="15"/>
        <v>3.13460395680846</v>
      </c>
      <c r="M1025" s="4"/>
    </row>
    <row r="1026" spans="1:13">
      <c r="A1026" s="3">
        <v>45664</v>
      </c>
      <c r="B1026" s="4" t="s">
        <v>8</v>
      </c>
      <c r="C1026" s="4" t="s">
        <v>28</v>
      </c>
      <c r="D1026" s="4" t="s">
        <v>29</v>
      </c>
      <c r="E1026" s="4">
        <v>5</v>
      </c>
      <c r="F1026" s="4">
        <v>9972</v>
      </c>
      <c r="G1026" s="4">
        <v>49860</v>
      </c>
      <c r="H1026" s="4">
        <v>109334</v>
      </c>
      <c r="I1026" s="4"/>
      <c r="J1026" s="4"/>
      <c r="K1026" s="4"/>
      <c r="L1026" s="6">
        <f t="shared" si="15"/>
        <v>0.456033804671923</v>
      </c>
      <c r="M1026" s="4"/>
    </row>
    <row r="1027" spans="1:13">
      <c r="A1027" s="3">
        <v>45836</v>
      </c>
      <c r="B1027" s="4" t="s">
        <v>4</v>
      </c>
      <c r="C1027" s="4" t="s">
        <v>28</v>
      </c>
      <c r="D1027" s="4" t="s">
        <v>27</v>
      </c>
      <c r="E1027" s="4">
        <v>7</v>
      </c>
      <c r="F1027" s="4">
        <v>14283</v>
      </c>
      <c r="G1027" s="4">
        <v>99981</v>
      </c>
      <c r="H1027" s="4">
        <v>141422</v>
      </c>
      <c r="I1027" s="4"/>
      <c r="J1027" s="4"/>
      <c r="K1027" s="4"/>
      <c r="L1027" s="6">
        <f t="shared" ref="L1027:L1090" si="16">G1027/H1027</f>
        <v>0.706969212710894</v>
      </c>
      <c r="M1027" s="4"/>
    </row>
    <row r="1028" spans="1:13">
      <c r="A1028" s="3">
        <v>45724</v>
      </c>
      <c r="B1028" s="4" t="s">
        <v>6</v>
      </c>
      <c r="C1028" s="4" t="s">
        <v>28</v>
      </c>
      <c r="D1028" s="4" t="s">
        <v>23</v>
      </c>
      <c r="E1028" s="4">
        <v>6</v>
      </c>
      <c r="F1028" s="4">
        <v>26286</v>
      </c>
      <c r="G1028" s="4">
        <v>157716</v>
      </c>
      <c r="H1028" s="4">
        <v>175035</v>
      </c>
      <c r="I1028" s="4"/>
      <c r="J1028" s="4"/>
      <c r="K1028" s="4"/>
      <c r="L1028" s="6">
        <f t="shared" si="16"/>
        <v>0.901054074899306</v>
      </c>
      <c r="M1028" s="4"/>
    </row>
    <row r="1029" spans="1:13">
      <c r="A1029" s="3">
        <v>45835</v>
      </c>
      <c r="B1029" s="4" t="s">
        <v>5</v>
      </c>
      <c r="C1029" s="4" t="s">
        <v>28</v>
      </c>
      <c r="D1029" s="4" t="s">
        <v>32</v>
      </c>
      <c r="E1029" s="4">
        <v>10</v>
      </c>
      <c r="F1029" s="4">
        <v>21962</v>
      </c>
      <c r="G1029" s="4">
        <v>219620</v>
      </c>
      <c r="H1029" s="4">
        <v>111286</v>
      </c>
      <c r="I1029" s="4"/>
      <c r="J1029" s="4"/>
      <c r="K1029" s="4"/>
      <c r="L1029" s="6">
        <f t="shared" si="16"/>
        <v>1.97347375231386</v>
      </c>
      <c r="M1029" s="4"/>
    </row>
    <row r="1030" spans="1:13">
      <c r="A1030" s="3">
        <v>45782</v>
      </c>
      <c r="B1030" s="4" t="s">
        <v>7</v>
      </c>
      <c r="C1030" s="4" t="s">
        <v>24</v>
      </c>
      <c r="D1030" s="4" t="s">
        <v>33</v>
      </c>
      <c r="E1030" s="4">
        <v>5</v>
      </c>
      <c r="F1030" s="4">
        <v>38813</v>
      </c>
      <c r="G1030" s="4">
        <v>194065</v>
      </c>
      <c r="H1030" s="4">
        <v>171690</v>
      </c>
      <c r="I1030" s="4"/>
      <c r="J1030" s="4"/>
      <c r="K1030" s="4"/>
      <c r="L1030" s="6">
        <f t="shared" si="16"/>
        <v>1.13032209214282</v>
      </c>
      <c r="M1030" s="4"/>
    </row>
    <row r="1031" spans="1:13">
      <c r="A1031" s="3">
        <v>45756</v>
      </c>
      <c r="B1031" s="4" t="s">
        <v>7</v>
      </c>
      <c r="C1031" s="4" t="s">
        <v>24</v>
      </c>
      <c r="D1031" s="4" t="s">
        <v>29</v>
      </c>
      <c r="E1031" s="4">
        <v>8</v>
      </c>
      <c r="F1031" s="4">
        <v>11015</v>
      </c>
      <c r="G1031" s="4">
        <v>88120</v>
      </c>
      <c r="H1031" s="4">
        <v>19358</v>
      </c>
      <c r="I1031" s="4"/>
      <c r="J1031" s="4"/>
      <c r="K1031" s="4"/>
      <c r="L1031" s="6">
        <f t="shared" si="16"/>
        <v>4.55212315321831</v>
      </c>
      <c r="M1031" s="4"/>
    </row>
    <row r="1032" spans="1:13">
      <c r="A1032" s="3">
        <v>45737</v>
      </c>
      <c r="B1032" s="4" t="s">
        <v>8</v>
      </c>
      <c r="C1032" s="4" t="s">
        <v>22</v>
      </c>
      <c r="D1032" s="4" t="s">
        <v>32</v>
      </c>
      <c r="E1032" s="4">
        <v>7</v>
      </c>
      <c r="F1032" s="4">
        <v>19172</v>
      </c>
      <c r="G1032" s="4">
        <v>134204</v>
      </c>
      <c r="H1032" s="4">
        <v>18416</v>
      </c>
      <c r="I1032" s="4"/>
      <c r="J1032" s="4"/>
      <c r="K1032" s="4"/>
      <c r="L1032" s="6">
        <f t="shared" si="16"/>
        <v>7.28735881841877</v>
      </c>
      <c r="M1032" s="4"/>
    </row>
    <row r="1033" spans="1:13">
      <c r="A1033" s="3">
        <v>45670</v>
      </c>
      <c r="B1033" s="4" t="s">
        <v>3</v>
      </c>
      <c r="C1033" s="4" t="s">
        <v>24</v>
      </c>
      <c r="D1033" s="4" t="s">
        <v>30</v>
      </c>
      <c r="E1033" s="4">
        <v>3</v>
      </c>
      <c r="F1033" s="4">
        <v>39808</v>
      </c>
      <c r="G1033" s="4">
        <v>119424</v>
      </c>
      <c r="H1033" s="4">
        <v>194163</v>
      </c>
      <c r="I1033" s="4"/>
      <c r="J1033" s="4"/>
      <c r="K1033" s="4"/>
      <c r="L1033" s="6">
        <f t="shared" si="16"/>
        <v>0.615070842539516</v>
      </c>
      <c r="M1033" s="4"/>
    </row>
    <row r="1034" spans="1:13">
      <c r="A1034" s="3">
        <v>45758</v>
      </c>
      <c r="B1034" s="4" t="s">
        <v>4</v>
      </c>
      <c r="C1034" s="4" t="s">
        <v>28</v>
      </c>
      <c r="D1034" s="4" t="s">
        <v>25</v>
      </c>
      <c r="E1034" s="4">
        <v>10</v>
      </c>
      <c r="F1034" s="4">
        <v>30556</v>
      </c>
      <c r="G1034" s="4">
        <v>305560</v>
      </c>
      <c r="H1034" s="4">
        <v>115108</v>
      </c>
      <c r="I1034" s="4"/>
      <c r="J1034" s="4"/>
      <c r="K1034" s="4"/>
      <c r="L1034" s="6">
        <f t="shared" si="16"/>
        <v>2.65455050908712</v>
      </c>
      <c r="M1034" s="4"/>
    </row>
    <row r="1035" spans="1:13">
      <c r="A1035" s="3">
        <v>45763</v>
      </c>
      <c r="B1035" s="4" t="s">
        <v>3</v>
      </c>
      <c r="C1035" s="4" t="s">
        <v>22</v>
      </c>
      <c r="D1035" s="4" t="s">
        <v>32</v>
      </c>
      <c r="E1035" s="4">
        <v>1</v>
      </c>
      <c r="F1035" s="4">
        <v>14432</v>
      </c>
      <c r="G1035" s="4">
        <v>14432</v>
      </c>
      <c r="H1035" s="4">
        <v>101189</v>
      </c>
      <c r="I1035" s="4"/>
      <c r="J1035" s="4"/>
      <c r="K1035" s="4"/>
      <c r="L1035" s="6">
        <f t="shared" si="16"/>
        <v>0.142624198282422</v>
      </c>
      <c r="M1035" s="4"/>
    </row>
    <row r="1036" spans="1:13">
      <c r="A1036" s="3">
        <v>45671</v>
      </c>
      <c r="B1036" s="4" t="s">
        <v>3</v>
      </c>
      <c r="C1036" s="4" t="s">
        <v>26</v>
      </c>
      <c r="D1036" s="4" t="s">
        <v>29</v>
      </c>
      <c r="E1036" s="4">
        <v>4</v>
      </c>
      <c r="F1036" s="4">
        <v>42812</v>
      </c>
      <c r="G1036" s="4">
        <v>171248</v>
      </c>
      <c r="H1036" s="4">
        <v>23150</v>
      </c>
      <c r="I1036" s="4"/>
      <c r="J1036" s="4"/>
      <c r="K1036" s="4"/>
      <c r="L1036" s="6">
        <f t="shared" si="16"/>
        <v>7.39732181425486</v>
      </c>
      <c r="M1036" s="4"/>
    </row>
    <row r="1037" spans="1:13">
      <c r="A1037" s="3">
        <v>45754</v>
      </c>
      <c r="B1037" s="4" t="s">
        <v>2</v>
      </c>
      <c r="C1037" s="4" t="s">
        <v>22</v>
      </c>
      <c r="D1037" s="4" t="s">
        <v>33</v>
      </c>
      <c r="E1037" s="4">
        <v>9</v>
      </c>
      <c r="F1037" s="4">
        <v>16831</v>
      </c>
      <c r="G1037" s="4">
        <v>151479</v>
      </c>
      <c r="H1037" s="4">
        <v>21473</v>
      </c>
      <c r="I1037" s="4"/>
      <c r="J1037" s="4"/>
      <c r="K1037" s="4"/>
      <c r="L1037" s="6">
        <f t="shared" si="16"/>
        <v>7.0543938900014</v>
      </c>
      <c r="M1037" s="4"/>
    </row>
    <row r="1038" spans="1:13">
      <c r="A1038" s="3">
        <v>45713</v>
      </c>
      <c r="B1038" s="4" t="s">
        <v>7</v>
      </c>
      <c r="C1038" s="4" t="s">
        <v>28</v>
      </c>
      <c r="D1038" s="4" t="s">
        <v>25</v>
      </c>
      <c r="E1038" s="4">
        <v>9</v>
      </c>
      <c r="F1038" s="4">
        <v>8623</v>
      </c>
      <c r="G1038" s="4">
        <v>77607</v>
      </c>
      <c r="H1038" s="4">
        <v>138305</v>
      </c>
      <c r="I1038" s="4"/>
      <c r="J1038" s="4"/>
      <c r="K1038" s="4"/>
      <c r="L1038" s="6">
        <f t="shared" si="16"/>
        <v>0.561129387946929</v>
      </c>
      <c r="M1038" s="4"/>
    </row>
    <row r="1039" spans="1:13">
      <c r="A1039" s="3">
        <v>45778</v>
      </c>
      <c r="B1039" s="4" t="s">
        <v>3</v>
      </c>
      <c r="C1039" s="4" t="s">
        <v>28</v>
      </c>
      <c r="D1039" s="4" t="s">
        <v>32</v>
      </c>
      <c r="E1039" s="4">
        <v>6</v>
      </c>
      <c r="F1039" s="4">
        <v>2106</v>
      </c>
      <c r="G1039" s="4">
        <v>12636</v>
      </c>
      <c r="H1039" s="4">
        <v>32615</v>
      </c>
      <c r="I1039" s="4"/>
      <c r="J1039" s="4"/>
      <c r="K1039" s="4"/>
      <c r="L1039" s="6">
        <f t="shared" si="16"/>
        <v>0.387429097041239</v>
      </c>
      <c r="M1039" s="4"/>
    </row>
    <row r="1040" spans="1:13">
      <c r="A1040" s="3">
        <v>45774</v>
      </c>
      <c r="B1040" s="4" t="s">
        <v>5</v>
      </c>
      <c r="C1040" s="4" t="s">
        <v>26</v>
      </c>
      <c r="D1040" s="4" t="s">
        <v>27</v>
      </c>
      <c r="E1040" s="4">
        <v>5</v>
      </c>
      <c r="F1040" s="4">
        <v>3790</v>
      </c>
      <c r="G1040" s="4">
        <v>18950</v>
      </c>
      <c r="H1040" s="4">
        <v>159017</v>
      </c>
      <c r="I1040" s="4"/>
      <c r="J1040" s="4"/>
      <c r="K1040" s="4"/>
      <c r="L1040" s="6">
        <f t="shared" si="16"/>
        <v>0.119169648528145</v>
      </c>
      <c r="M1040" s="4"/>
    </row>
    <row r="1041" spans="1:13">
      <c r="A1041" s="3">
        <v>45701</v>
      </c>
      <c r="B1041" s="4" t="s">
        <v>2</v>
      </c>
      <c r="C1041" s="4" t="s">
        <v>26</v>
      </c>
      <c r="D1041" s="4" t="s">
        <v>32</v>
      </c>
      <c r="E1041" s="4">
        <v>4</v>
      </c>
      <c r="F1041" s="4">
        <v>7986</v>
      </c>
      <c r="G1041" s="4">
        <v>31944</v>
      </c>
      <c r="H1041" s="4">
        <v>41643</v>
      </c>
      <c r="I1041" s="4"/>
      <c r="J1041" s="4"/>
      <c r="K1041" s="4"/>
      <c r="L1041" s="6">
        <f t="shared" si="16"/>
        <v>0.767091708090195</v>
      </c>
      <c r="M1041" s="4"/>
    </row>
    <row r="1042" spans="1:13">
      <c r="A1042" s="3">
        <v>45742</v>
      </c>
      <c r="B1042" s="4" t="s">
        <v>3</v>
      </c>
      <c r="C1042" s="4" t="s">
        <v>24</v>
      </c>
      <c r="D1042" s="4" t="s">
        <v>30</v>
      </c>
      <c r="E1042" s="4">
        <v>1</v>
      </c>
      <c r="F1042" s="4">
        <v>16201</v>
      </c>
      <c r="G1042" s="4">
        <v>16201</v>
      </c>
      <c r="H1042" s="4">
        <v>62688</v>
      </c>
      <c r="I1042" s="4"/>
      <c r="J1042" s="4"/>
      <c r="K1042" s="4"/>
      <c r="L1042" s="6">
        <f t="shared" si="16"/>
        <v>0.258438616641143</v>
      </c>
      <c r="M1042" s="4"/>
    </row>
    <row r="1043" spans="1:13">
      <c r="A1043" s="3">
        <v>45795</v>
      </c>
      <c r="B1043" s="4" t="s">
        <v>5</v>
      </c>
      <c r="C1043" s="4" t="s">
        <v>26</v>
      </c>
      <c r="D1043" s="4" t="s">
        <v>27</v>
      </c>
      <c r="E1043" s="4">
        <v>6</v>
      </c>
      <c r="F1043" s="4">
        <v>19674</v>
      </c>
      <c r="G1043" s="4">
        <v>118044</v>
      </c>
      <c r="H1043" s="4">
        <v>138536</v>
      </c>
      <c r="I1043" s="4"/>
      <c r="J1043" s="4"/>
      <c r="K1043" s="4"/>
      <c r="L1043" s="6">
        <f t="shared" si="16"/>
        <v>0.852081769359589</v>
      </c>
      <c r="M1043" s="4"/>
    </row>
    <row r="1044" spans="1:13">
      <c r="A1044" s="3">
        <v>45663</v>
      </c>
      <c r="B1044" s="4" t="s">
        <v>4</v>
      </c>
      <c r="C1044" s="4" t="s">
        <v>22</v>
      </c>
      <c r="D1044" s="4" t="s">
        <v>32</v>
      </c>
      <c r="E1044" s="4">
        <v>10</v>
      </c>
      <c r="F1044" s="4">
        <v>5137</v>
      </c>
      <c r="G1044" s="4">
        <v>51370</v>
      </c>
      <c r="H1044" s="4">
        <v>90627</v>
      </c>
      <c r="I1044" s="4"/>
      <c r="J1044" s="4"/>
      <c r="K1044" s="4"/>
      <c r="L1044" s="6">
        <f t="shared" si="16"/>
        <v>0.566828869983559</v>
      </c>
      <c r="M1044" s="4"/>
    </row>
    <row r="1045" spans="1:13">
      <c r="A1045" s="3">
        <v>45668</v>
      </c>
      <c r="B1045" s="4" t="s">
        <v>2</v>
      </c>
      <c r="C1045" s="4" t="s">
        <v>26</v>
      </c>
      <c r="D1045" s="4" t="s">
        <v>33</v>
      </c>
      <c r="E1045" s="4">
        <v>5</v>
      </c>
      <c r="F1045" s="4">
        <v>23023</v>
      </c>
      <c r="G1045" s="4">
        <v>115115</v>
      </c>
      <c r="H1045" s="4">
        <v>79656</v>
      </c>
      <c r="I1045" s="4"/>
      <c r="J1045" s="4"/>
      <c r="K1045" s="4"/>
      <c r="L1045" s="6">
        <f t="shared" si="16"/>
        <v>1.44515165210405</v>
      </c>
      <c r="M1045" s="4"/>
    </row>
    <row r="1046" spans="1:13">
      <c r="A1046" s="3">
        <v>45825</v>
      </c>
      <c r="B1046" s="4" t="s">
        <v>6</v>
      </c>
      <c r="C1046" s="4" t="s">
        <v>28</v>
      </c>
      <c r="D1046" s="4" t="s">
        <v>31</v>
      </c>
      <c r="E1046" s="4">
        <v>10</v>
      </c>
      <c r="F1046" s="4">
        <v>44693</v>
      </c>
      <c r="G1046" s="4">
        <v>446930</v>
      </c>
      <c r="H1046" s="4">
        <v>56943</v>
      </c>
      <c r="I1046" s="4"/>
      <c r="J1046" s="4"/>
      <c r="K1046" s="4"/>
      <c r="L1046" s="6">
        <f t="shared" si="16"/>
        <v>7.84872591890136</v>
      </c>
      <c r="M1046" s="4"/>
    </row>
    <row r="1047" spans="1:13">
      <c r="A1047" s="3">
        <v>45810</v>
      </c>
      <c r="B1047" s="4" t="s">
        <v>8</v>
      </c>
      <c r="C1047" s="4" t="s">
        <v>28</v>
      </c>
      <c r="D1047" s="4" t="s">
        <v>29</v>
      </c>
      <c r="E1047" s="4">
        <v>4</v>
      </c>
      <c r="F1047" s="4">
        <v>47072</v>
      </c>
      <c r="G1047" s="4">
        <v>188288</v>
      </c>
      <c r="H1047" s="4">
        <v>126903</v>
      </c>
      <c r="I1047" s="4"/>
      <c r="J1047" s="4"/>
      <c r="K1047" s="4"/>
      <c r="L1047" s="6">
        <f t="shared" si="16"/>
        <v>1.48371590900136</v>
      </c>
      <c r="M1047" s="4"/>
    </row>
    <row r="1048" spans="1:13">
      <c r="A1048" s="3">
        <v>45749</v>
      </c>
      <c r="B1048" s="4" t="s">
        <v>4</v>
      </c>
      <c r="C1048" s="4" t="s">
        <v>24</v>
      </c>
      <c r="D1048" s="4" t="s">
        <v>23</v>
      </c>
      <c r="E1048" s="4">
        <v>3</v>
      </c>
      <c r="F1048" s="4">
        <v>49807</v>
      </c>
      <c r="G1048" s="4">
        <v>149421</v>
      </c>
      <c r="H1048" s="4">
        <v>92245</v>
      </c>
      <c r="I1048" s="4"/>
      <c r="J1048" s="4"/>
      <c r="K1048" s="4"/>
      <c r="L1048" s="6">
        <f t="shared" si="16"/>
        <v>1.61982763293403</v>
      </c>
      <c r="M1048" s="4"/>
    </row>
    <row r="1049" spans="1:13">
      <c r="A1049" s="3">
        <v>45794</v>
      </c>
      <c r="B1049" s="4" t="s">
        <v>5</v>
      </c>
      <c r="C1049" s="4" t="s">
        <v>22</v>
      </c>
      <c r="D1049" s="4" t="s">
        <v>27</v>
      </c>
      <c r="E1049" s="4">
        <v>9</v>
      </c>
      <c r="F1049" s="4">
        <v>17780</v>
      </c>
      <c r="G1049" s="4">
        <v>160020</v>
      </c>
      <c r="H1049" s="4">
        <v>176106</v>
      </c>
      <c r="I1049" s="4"/>
      <c r="J1049" s="4"/>
      <c r="K1049" s="4"/>
      <c r="L1049" s="6">
        <f t="shared" si="16"/>
        <v>0.908657285952778</v>
      </c>
      <c r="M1049" s="4"/>
    </row>
    <row r="1050" spans="1:13">
      <c r="A1050" s="3">
        <v>45805</v>
      </c>
      <c r="B1050" s="4" t="s">
        <v>2</v>
      </c>
      <c r="C1050" s="4" t="s">
        <v>26</v>
      </c>
      <c r="D1050" s="4" t="s">
        <v>31</v>
      </c>
      <c r="E1050" s="4">
        <v>9</v>
      </c>
      <c r="F1050" s="4">
        <v>23645</v>
      </c>
      <c r="G1050" s="4">
        <v>212805</v>
      </c>
      <c r="H1050" s="4">
        <v>31661</v>
      </c>
      <c r="I1050" s="4"/>
      <c r="J1050" s="4"/>
      <c r="K1050" s="4"/>
      <c r="L1050" s="6">
        <f t="shared" si="16"/>
        <v>6.72136066453997</v>
      </c>
      <c r="M1050" s="4"/>
    </row>
    <row r="1051" spans="1:13">
      <c r="A1051" s="3">
        <v>45809</v>
      </c>
      <c r="B1051" s="4" t="s">
        <v>3</v>
      </c>
      <c r="C1051" s="4" t="s">
        <v>28</v>
      </c>
      <c r="D1051" s="4" t="s">
        <v>31</v>
      </c>
      <c r="E1051" s="4">
        <v>3</v>
      </c>
      <c r="F1051" s="4">
        <v>8493</v>
      </c>
      <c r="G1051" s="4">
        <v>25479</v>
      </c>
      <c r="H1051" s="4">
        <v>18611</v>
      </c>
      <c r="I1051" s="4"/>
      <c r="J1051" s="4"/>
      <c r="K1051" s="4"/>
      <c r="L1051" s="6">
        <f t="shared" si="16"/>
        <v>1.36902906883026</v>
      </c>
      <c r="M1051" s="4"/>
    </row>
    <row r="1052" spans="1:13">
      <c r="A1052" s="3">
        <v>45722</v>
      </c>
      <c r="B1052" s="4" t="s">
        <v>6</v>
      </c>
      <c r="C1052" s="4" t="s">
        <v>22</v>
      </c>
      <c r="D1052" s="4" t="s">
        <v>29</v>
      </c>
      <c r="E1052" s="4">
        <v>7</v>
      </c>
      <c r="F1052" s="4">
        <v>17776</v>
      </c>
      <c r="G1052" s="4">
        <v>124432</v>
      </c>
      <c r="H1052" s="4">
        <v>112869</v>
      </c>
      <c r="I1052" s="4"/>
      <c r="J1052" s="4"/>
      <c r="K1052" s="4"/>
      <c r="L1052" s="6">
        <f t="shared" si="16"/>
        <v>1.10244619869052</v>
      </c>
      <c r="M1052" s="4"/>
    </row>
    <row r="1053" spans="1:13">
      <c r="A1053" s="3">
        <v>45739</v>
      </c>
      <c r="B1053" s="4" t="s">
        <v>2</v>
      </c>
      <c r="C1053" s="4" t="s">
        <v>28</v>
      </c>
      <c r="D1053" s="4" t="s">
        <v>30</v>
      </c>
      <c r="E1053" s="4">
        <v>8</v>
      </c>
      <c r="F1053" s="4">
        <v>33035</v>
      </c>
      <c r="G1053" s="4">
        <v>264280</v>
      </c>
      <c r="H1053" s="4">
        <v>80976</v>
      </c>
      <c r="I1053" s="4"/>
      <c r="J1053" s="4"/>
      <c r="K1053" s="4"/>
      <c r="L1053" s="6">
        <f t="shared" si="16"/>
        <v>3.26368306658763</v>
      </c>
      <c r="M1053" s="4"/>
    </row>
    <row r="1054" spans="1:13">
      <c r="A1054" s="3">
        <v>45778</v>
      </c>
      <c r="B1054" s="4" t="s">
        <v>4</v>
      </c>
      <c r="C1054" s="4" t="s">
        <v>26</v>
      </c>
      <c r="D1054" s="4" t="s">
        <v>31</v>
      </c>
      <c r="E1054" s="4">
        <v>1</v>
      </c>
      <c r="F1054" s="4">
        <v>3848</v>
      </c>
      <c r="G1054" s="4">
        <v>3848</v>
      </c>
      <c r="H1054" s="4">
        <v>135325</v>
      </c>
      <c r="I1054" s="4"/>
      <c r="J1054" s="4"/>
      <c r="K1054" s="4"/>
      <c r="L1054" s="6">
        <f t="shared" si="16"/>
        <v>0.0284352484758914</v>
      </c>
      <c r="M1054" s="4"/>
    </row>
    <row r="1055" spans="1:13">
      <c r="A1055" s="3">
        <v>45727</v>
      </c>
      <c r="B1055" s="4" t="s">
        <v>4</v>
      </c>
      <c r="C1055" s="4" t="s">
        <v>24</v>
      </c>
      <c r="D1055" s="4" t="s">
        <v>25</v>
      </c>
      <c r="E1055" s="4">
        <v>7</v>
      </c>
      <c r="F1055" s="4">
        <v>3384</v>
      </c>
      <c r="G1055" s="4">
        <v>23688</v>
      </c>
      <c r="H1055" s="4">
        <v>104724</v>
      </c>
      <c r="I1055" s="4"/>
      <c r="J1055" s="4"/>
      <c r="K1055" s="4"/>
      <c r="L1055" s="6">
        <f t="shared" si="16"/>
        <v>0.226194568580268</v>
      </c>
      <c r="M1055" s="4"/>
    </row>
    <row r="1056" spans="1:13">
      <c r="A1056" s="3">
        <v>45662</v>
      </c>
      <c r="B1056" s="4" t="s">
        <v>2</v>
      </c>
      <c r="C1056" s="4" t="s">
        <v>22</v>
      </c>
      <c r="D1056" s="4" t="s">
        <v>27</v>
      </c>
      <c r="E1056" s="4">
        <v>10</v>
      </c>
      <c r="F1056" s="4">
        <v>2536</v>
      </c>
      <c r="G1056" s="4">
        <v>25360</v>
      </c>
      <c r="H1056" s="4">
        <v>199391</v>
      </c>
      <c r="I1056" s="4"/>
      <c r="J1056" s="4"/>
      <c r="K1056" s="4"/>
      <c r="L1056" s="6">
        <f t="shared" si="16"/>
        <v>0.127187285283689</v>
      </c>
      <c r="M1056" s="4"/>
    </row>
    <row r="1057" spans="1:13">
      <c r="A1057" s="3">
        <v>45838</v>
      </c>
      <c r="B1057" s="4" t="s">
        <v>8</v>
      </c>
      <c r="C1057" s="4" t="s">
        <v>24</v>
      </c>
      <c r="D1057" s="4" t="s">
        <v>27</v>
      </c>
      <c r="E1057" s="4">
        <v>5</v>
      </c>
      <c r="F1057" s="4">
        <v>38942</v>
      </c>
      <c r="G1057" s="4">
        <v>194710</v>
      </c>
      <c r="H1057" s="4">
        <v>89313</v>
      </c>
      <c r="I1057" s="4"/>
      <c r="J1057" s="4"/>
      <c r="K1057" s="4"/>
      <c r="L1057" s="6">
        <f t="shared" si="16"/>
        <v>2.18008576578997</v>
      </c>
      <c r="M1057" s="4"/>
    </row>
    <row r="1058" spans="1:13">
      <c r="A1058" s="3">
        <v>45800</v>
      </c>
      <c r="B1058" s="4" t="s">
        <v>2</v>
      </c>
      <c r="C1058" s="4" t="s">
        <v>26</v>
      </c>
      <c r="D1058" s="4" t="s">
        <v>29</v>
      </c>
      <c r="E1058" s="4">
        <v>8</v>
      </c>
      <c r="F1058" s="4">
        <v>36354</v>
      </c>
      <c r="G1058" s="4">
        <v>290832</v>
      </c>
      <c r="H1058" s="4">
        <v>40576</v>
      </c>
      <c r="I1058" s="4"/>
      <c r="J1058" s="4"/>
      <c r="K1058" s="4"/>
      <c r="L1058" s="6">
        <f t="shared" si="16"/>
        <v>7.16758675078864</v>
      </c>
      <c r="M1058" s="4"/>
    </row>
    <row r="1059" spans="1:13">
      <c r="A1059" s="3">
        <v>45828</v>
      </c>
      <c r="B1059" s="4" t="s">
        <v>3</v>
      </c>
      <c r="C1059" s="4" t="s">
        <v>28</v>
      </c>
      <c r="D1059" s="4" t="s">
        <v>25</v>
      </c>
      <c r="E1059" s="4">
        <v>5</v>
      </c>
      <c r="F1059" s="4">
        <v>31883</v>
      </c>
      <c r="G1059" s="4">
        <v>159415</v>
      </c>
      <c r="H1059" s="4">
        <v>193613</v>
      </c>
      <c r="I1059" s="4"/>
      <c r="J1059" s="4"/>
      <c r="K1059" s="4"/>
      <c r="L1059" s="6">
        <f t="shared" si="16"/>
        <v>0.823369298549168</v>
      </c>
      <c r="M1059" s="4"/>
    </row>
    <row r="1060" spans="1:13">
      <c r="A1060" s="3">
        <v>45791</v>
      </c>
      <c r="B1060" s="4" t="s">
        <v>5</v>
      </c>
      <c r="C1060" s="4" t="s">
        <v>28</v>
      </c>
      <c r="D1060" s="4" t="s">
        <v>31</v>
      </c>
      <c r="E1060" s="4">
        <v>7</v>
      </c>
      <c r="F1060" s="4">
        <v>35576</v>
      </c>
      <c r="G1060" s="4">
        <v>249032</v>
      </c>
      <c r="H1060" s="4">
        <v>12479</v>
      </c>
      <c r="I1060" s="4"/>
      <c r="J1060" s="4"/>
      <c r="K1060" s="4"/>
      <c r="L1060" s="6">
        <f t="shared" si="16"/>
        <v>19.9560862248578</v>
      </c>
      <c r="M1060" s="4"/>
    </row>
    <row r="1061" spans="1:13">
      <c r="A1061" s="3">
        <v>45727</v>
      </c>
      <c r="B1061" s="4" t="s">
        <v>4</v>
      </c>
      <c r="C1061" s="4" t="s">
        <v>28</v>
      </c>
      <c r="D1061" s="4" t="s">
        <v>27</v>
      </c>
      <c r="E1061" s="4">
        <v>1</v>
      </c>
      <c r="F1061" s="4">
        <v>26533</v>
      </c>
      <c r="G1061" s="4">
        <v>26533</v>
      </c>
      <c r="H1061" s="4">
        <v>89465</v>
      </c>
      <c r="I1061" s="4"/>
      <c r="J1061" s="4"/>
      <c r="K1061" s="4"/>
      <c r="L1061" s="6">
        <f t="shared" si="16"/>
        <v>0.296574079248868</v>
      </c>
      <c r="M1061" s="4"/>
    </row>
    <row r="1062" spans="1:13">
      <c r="A1062" s="3">
        <v>45751</v>
      </c>
      <c r="B1062" s="4" t="s">
        <v>8</v>
      </c>
      <c r="C1062" s="4" t="s">
        <v>28</v>
      </c>
      <c r="D1062" s="4" t="s">
        <v>30</v>
      </c>
      <c r="E1062" s="4">
        <v>8</v>
      </c>
      <c r="F1062" s="4">
        <v>33586</v>
      </c>
      <c r="G1062" s="4">
        <v>268688</v>
      </c>
      <c r="H1062" s="4">
        <v>115330</v>
      </c>
      <c r="I1062" s="4"/>
      <c r="J1062" s="4"/>
      <c r="K1062" s="4"/>
      <c r="L1062" s="6">
        <f t="shared" si="16"/>
        <v>2.32973207318131</v>
      </c>
      <c r="M1062" s="4"/>
    </row>
    <row r="1063" spans="1:13">
      <c r="A1063" s="3">
        <v>45659</v>
      </c>
      <c r="B1063" s="4" t="s">
        <v>5</v>
      </c>
      <c r="C1063" s="4" t="s">
        <v>24</v>
      </c>
      <c r="D1063" s="4" t="s">
        <v>33</v>
      </c>
      <c r="E1063" s="4">
        <v>7</v>
      </c>
      <c r="F1063" s="4">
        <v>26324</v>
      </c>
      <c r="G1063" s="4">
        <v>184268</v>
      </c>
      <c r="H1063" s="4">
        <v>154697</v>
      </c>
      <c r="I1063" s="4"/>
      <c r="J1063" s="4"/>
      <c r="K1063" s="4"/>
      <c r="L1063" s="6">
        <f t="shared" si="16"/>
        <v>1.19115432102756</v>
      </c>
      <c r="M1063" s="4"/>
    </row>
    <row r="1064" spans="1:13">
      <c r="A1064" s="3">
        <v>45769</v>
      </c>
      <c r="B1064" s="4" t="s">
        <v>2</v>
      </c>
      <c r="C1064" s="4" t="s">
        <v>26</v>
      </c>
      <c r="D1064" s="4" t="s">
        <v>33</v>
      </c>
      <c r="E1064" s="4">
        <v>10</v>
      </c>
      <c r="F1064" s="4">
        <v>14442</v>
      </c>
      <c r="G1064" s="4">
        <v>144420</v>
      </c>
      <c r="H1064" s="4">
        <v>163307</v>
      </c>
      <c r="I1064" s="4"/>
      <c r="J1064" s="4"/>
      <c r="K1064" s="4"/>
      <c r="L1064" s="6">
        <f t="shared" si="16"/>
        <v>0.88434665997171</v>
      </c>
      <c r="M1064" s="4"/>
    </row>
    <row r="1065" spans="1:13">
      <c r="A1065" s="3">
        <v>45792</v>
      </c>
      <c r="B1065" s="4" t="s">
        <v>7</v>
      </c>
      <c r="C1065" s="4" t="s">
        <v>22</v>
      </c>
      <c r="D1065" s="4" t="s">
        <v>27</v>
      </c>
      <c r="E1065" s="4">
        <v>2</v>
      </c>
      <c r="F1065" s="4">
        <v>29823</v>
      </c>
      <c r="G1065" s="4">
        <v>59646</v>
      </c>
      <c r="H1065" s="4">
        <v>24872</v>
      </c>
      <c r="I1065" s="4"/>
      <c r="J1065" s="4"/>
      <c r="K1065" s="4"/>
      <c r="L1065" s="6">
        <f t="shared" si="16"/>
        <v>2.39811836603409</v>
      </c>
      <c r="M1065" s="4"/>
    </row>
    <row r="1066" spans="1:13">
      <c r="A1066" s="3">
        <v>45691</v>
      </c>
      <c r="B1066" s="4" t="s">
        <v>2</v>
      </c>
      <c r="C1066" s="4" t="s">
        <v>22</v>
      </c>
      <c r="D1066" s="4" t="s">
        <v>31</v>
      </c>
      <c r="E1066" s="4">
        <v>10</v>
      </c>
      <c r="F1066" s="4">
        <v>39692</v>
      </c>
      <c r="G1066" s="4">
        <v>396920</v>
      </c>
      <c r="H1066" s="4">
        <v>175357</v>
      </c>
      <c r="I1066" s="4"/>
      <c r="J1066" s="4"/>
      <c r="K1066" s="4"/>
      <c r="L1066" s="6">
        <f t="shared" si="16"/>
        <v>2.26349675233951</v>
      </c>
      <c r="M1066" s="4"/>
    </row>
    <row r="1067" spans="1:13">
      <c r="A1067" s="3">
        <v>45825</v>
      </c>
      <c r="B1067" s="4" t="s">
        <v>4</v>
      </c>
      <c r="C1067" s="4" t="s">
        <v>26</v>
      </c>
      <c r="D1067" s="4" t="s">
        <v>33</v>
      </c>
      <c r="E1067" s="4">
        <v>5</v>
      </c>
      <c r="F1067" s="4">
        <v>16878</v>
      </c>
      <c r="G1067" s="4">
        <v>84390</v>
      </c>
      <c r="H1067" s="4">
        <v>37666</v>
      </c>
      <c r="I1067" s="4"/>
      <c r="J1067" s="4"/>
      <c r="K1067" s="4"/>
      <c r="L1067" s="6">
        <f t="shared" si="16"/>
        <v>2.24048213242712</v>
      </c>
      <c r="M1067" s="4"/>
    </row>
    <row r="1068" spans="1:13">
      <c r="A1068" s="3">
        <v>45683</v>
      </c>
      <c r="B1068" s="4" t="s">
        <v>4</v>
      </c>
      <c r="C1068" s="4" t="s">
        <v>28</v>
      </c>
      <c r="D1068" s="4" t="s">
        <v>29</v>
      </c>
      <c r="E1068" s="4">
        <v>9</v>
      </c>
      <c r="F1068" s="4">
        <v>9882</v>
      </c>
      <c r="G1068" s="4">
        <v>88938</v>
      </c>
      <c r="H1068" s="4">
        <v>122229</v>
      </c>
      <c r="I1068" s="4"/>
      <c r="J1068" s="4"/>
      <c r="K1068" s="4"/>
      <c r="L1068" s="6">
        <f t="shared" si="16"/>
        <v>0.727634194831014</v>
      </c>
      <c r="M1068" s="4"/>
    </row>
    <row r="1069" spans="1:13">
      <c r="A1069" s="3">
        <v>45669</v>
      </c>
      <c r="B1069" s="4" t="s">
        <v>5</v>
      </c>
      <c r="C1069" s="4" t="s">
        <v>24</v>
      </c>
      <c r="D1069" s="4" t="s">
        <v>23</v>
      </c>
      <c r="E1069" s="4">
        <v>5</v>
      </c>
      <c r="F1069" s="4">
        <v>31659</v>
      </c>
      <c r="G1069" s="4">
        <v>158295</v>
      </c>
      <c r="H1069" s="4">
        <v>139083</v>
      </c>
      <c r="I1069" s="4"/>
      <c r="J1069" s="4"/>
      <c r="K1069" s="4"/>
      <c r="L1069" s="6">
        <f t="shared" si="16"/>
        <v>1.13813334483726</v>
      </c>
      <c r="M1069" s="4"/>
    </row>
    <row r="1070" spans="1:13">
      <c r="A1070" s="3">
        <v>45719</v>
      </c>
      <c r="B1070" s="4" t="s">
        <v>2</v>
      </c>
      <c r="C1070" s="4" t="s">
        <v>26</v>
      </c>
      <c r="D1070" s="4" t="s">
        <v>31</v>
      </c>
      <c r="E1070" s="4">
        <v>7</v>
      </c>
      <c r="F1070" s="4">
        <v>843</v>
      </c>
      <c r="G1070" s="4">
        <v>5901</v>
      </c>
      <c r="H1070" s="4">
        <v>195965</v>
      </c>
      <c r="I1070" s="4"/>
      <c r="J1070" s="4"/>
      <c r="K1070" s="4"/>
      <c r="L1070" s="6">
        <f t="shared" si="16"/>
        <v>0.0301125200928737</v>
      </c>
      <c r="M1070" s="4"/>
    </row>
    <row r="1071" spans="1:13">
      <c r="A1071" s="3">
        <v>45688</v>
      </c>
      <c r="B1071" s="4" t="s">
        <v>4</v>
      </c>
      <c r="C1071" s="4" t="s">
        <v>22</v>
      </c>
      <c r="D1071" s="4" t="s">
        <v>31</v>
      </c>
      <c r="E1071" s="4">
        <v>4</v>
      </c>
      <c r="F1071" s="4">
        <v>21680</v>
      </c>
      <c r="G1071" s="4">
        <v>86720</v>
      </c>
      <c r="H1071" s="4">
        <v>122774</v>
      </c>
      <c r="I1071" s="4"/>
      <c r="J1071" s="4"/>
      <c r="K1071" s="4"/>
      <c r="L1071" s="6">
        <f t="shared" si="16"/>
        <v>0.706338475573004</v>
      </c>
      <c r="M1071" s="4"/>
    </row>
    <row r="1072" spans="1:13">
      <c r="A1072" s="3">
        <v>45718</v>
      </c>
      <c r="B1072" s="4" t="s">
        <v>6</v>
      </c>
      <c r="C1072" s="4" t="s">
        <v>24</v>
      </c>
      <c r="D1072" s="4" t="s">
        <v>30</v>
      </c>
      <c r="E1072" s="4">
        <v>8</v>
      </c>
      <c r="F1072" s="4">
        <v>25112</v>
      </c>
      <c r="G1072" s="4">
        <v>200896</v>
      </c>
      <c r="H1072" s="4">
        <v>140255</v>
      </c>
      <c r="I1072" s="4"/>
      <c r="J1072" s="4"/>
      <c r="K1072" s="4"/>
      <c r="L1072" s="6">
        <f t="shared" si="16"/>
        <v>1.43236248262094</v>
      </c>
      <c r="M1072" s="4"/>
    </row>
    <row r="1073" spans="1:13">
      <c r="A1073" s="3">
        <v>45824</v>
      </c>
      <c r="B1073" s="4" t="s">
        <v>3</v>
      </c>
      <c r="C1073" s="4" t="s">
        <v>24</v>
      </c>
      <c r="D1073" s="4" t="s">
        <v>31</v>
      </c>
      <c r="E1073" s="4">
        <v>3</v>
      </c>
      <c r="F1073" s="4">
        <v>38148</v>
      </c>
      <c r="G1073" s="4">
        <v>114444</v>
      </c>
      <c r="H1073" s="4">
        <v>57688</v>
      </c>
      <c r="I1073" s="4"/>
      <c r="J1073" s="4"/>
      <c r="K1073" s="4"/>
      <c r="L1073" s="6">
        <f t="shared" si="16"/>
        <v>1.98384412702815</v>
      </c>
      <c r="M1073" s="4"/>
    </row>
    <row r="1074" spans="1:13">
      <c r="A1074" s="3">
        <v>45706</v>
      </c>
      <c r="B1074" s="4" t="s">
        <v>4</v>
      </c>
      <c r="C1074" s="4" t="s">
        <v>22</v>
      </c>
      <c r="D1074" s="4" t="s">
        <v>30</v>
      </c>
      <c r="E1074" s="4">
        <v>9</v>
      </c>
      <c r="F1074" s="4">
        <v>33783</v>
      </c>
      <c r="G1074" s="4">
        <v>304047</v>
      </c>
      <c r="H1074" s="4">
        <v>11531</v>
      </c>
      <c r="I1074" s="4"/>
      <c r="J1074" s="4"/>
      <c r="K1074" s="4"/>
      <c r="L1074" s="6">
        <f t="shared" si="16"/>
        <v>26.3677911716243</v>
      </c>
      <c r="M1074" s="4"/>
    </row>
    <row r="1075" spans="1:13">
      <c r="A1075" s="3">
        <v>45706</v>
      </c>
      <c r="B1075" s="4" t="s">
        <v>6</v>
      </c>
      <c r="C1075" s="4" t="s">
        <v>22</v>
      </c>
      <c r="D1075" s="4" t="s">
        <v>31</v>
      </c>
      <c r="E1075" s="4">
        <v>1</v>
      </c>
      <c r="F1075" s="4">
        <v>35209</v>
      </c>
      <c r="G1075" s="4">
        <v>35209</v>
      </c>
      <c r="H1075" s="4">
        <v>44499</v>
      </c>
      <c r="I1075" s="4"/>
      <c r="J1075" s="4"/>
      <c r="K1075" s="4"/>
      <c r="L1075" s="6">
        <f t="shared" si="16"/>
        <v>0.791231263623902</v>
      </c>
      <c r="M1075" s="4"/>
    </row>
    <row r="1076" spans="1:13">
      <c r="A1076" s="3">
        <v>45776</v>
      </c>
      <c r="B1076" s="4" t="s">
        <v>4</v>
      </c>
      <c r="C1076" s="4" t="s">
        <v>26</v>
      </c>
      <c r="D1076" s="4" t="s">
        <v>29</v>
      </c>
      <c r="E1076" s="4">
        <v>8</v>
      </c>
      <c r="F1076" s="4">
        <v>47884</v>
      </c>
      <c r="G1076" s="4">
        <v>383072</v>
      </c>
      <c r="H1076" s="4">
        <v>141057</v>
      </c>
      <c r="I1076" s="4"/>
      <c r="J1076" s="4"/>
      <c r="K1076" s="4"/>
      <c r="L1076" s="6">
        <f t="shared" si="16"/>
        <v>2.71572484881998</v>
      </c>
      <c r="M1076" s="4"/>
    </row>
    <row r="1077" spans="1:13">
      <c r="A1077" s="3">
        <v>45680</v>
      </c>
      <c r="B1077" s="4" t="s">
        <v>8</v>
      </c>
      <c r="C1077" s="4" t="s">
        <v>26</v>
      </c>
      <c r="D1077" s="4" t="s">
        <v>33</v>
      </c>
      <c r="E1077" s="4">
        <v>5</v>
      </c>
      <c r="F1077" s="4">
        <v>21879</v>
      </c>
      <c r="G1077" s="4">
        <v>109395</v>
      </c>
      <c r="H1077" s="4">
        <v>128974</v>
      </c>
      <c r="I1077" s="4"/>
      <c r="J1077" s="4"/>
      <c r="K1077" s="4"/>
      <c r="L1077" s="6">
        <f t="shared" si="16"/>
        <v>0.848194209685673</v>
      </c>
      <c r="M1077" s="4"/>
    </row>
    <row r="1078" spans="1:13">
      <c r="A1078" s="3">
        <v>45799</v>
      </c>
      <c r="B1078" s="4" t="s">
        <v>2</v>
      </c>
      <c r="C1078" s="4" t="s">
        <v>28</v>
      </c>
      <c r="D1078" s="4" t="s">
        <v>32</v>
      </c>
      <c r="E1078" s="4">
        <v>10</v>
      </c>
      <c r="F1078" s="4">
        <v>39362</v>
      </c>
      <c r="G1078" s="4">
        <v>393620</v>
      </c>
      <c r="H1078" s="4">
        <v>51919</v>
      </c>
      <c r="I1078" s="4"/>
      <c r="J1078" s="4"/>
      <c r="K1078" s="4"/>
      <c r="L1078" s="6">
        <f t="shared" si="16"/>
        <v>7.58142491188197</v>
      </c>
      <c r="M1078" s="4"/>
    </row>
    <row r="1079" spans="1:13">
      <c r="A1079" s="3">
        <v>45769</v>
      </c>
      <c r="B1079" s="4" t="s">
        <v>2</v>
      </c>
      <c r="C1079" s="4" t="s">
        <v>28</v>
      </c>
      <c r="D1079" s="4" t="s">
        <v>30</v>
      </c>
      <c r="E1079" s="4">
        <v>5</v>
      </c>
      <c r="F1079" s="4">
        <v>43296</v>
      </c>
      <c r="G1079" s="4">
        <v>216480</v>
      </c>
      <c r="H1079" s="4">
        <v>78994</v>
      </c>
      <c r="I1079" s="4"/>
      <c r="J1079" s="4"/>
      <c r="K1079" s="4"/>
      <c r="L1079" s="6">
        <f t="shared" si="16"/>
        <v>2.74046130085829</v>
      </c>
      <c r="M1079" s="4"/>
    </row>
    <row r="1080" spans="1:13">
      <c r="A1080" s="3">
        <v>45790</v>
      </c>
      <c r="B1080" s="4" t="s">
        <v>3</v>
      </c>
      <c r="C1080" s="4" t="s">
        <v>22</v>
      </c>
      <c r="D1080" s="4" t="s">
        <v>31</v>
      </c>
      <c r="E1080" s="4">
        <v>3</v>
      </c>
      <c r="F1080" s="4">
        <v>46349</v>
      </c>
      <c r="G1080" s="4">
        <v>139047</v>
      </c>
      <c r="H1080" s="4">
        <v>62614</v>
      </c>
      <c r="I1080" s="4"/>
      <c r="J1080" s="4"/>
      <c r="K1080" s="4"/>
      <c r="L1080" s="6">
        <f t="shared" si="16"/>
        <v>2.2207014405724</v>
      </c>
      <c r="M1080" s="4"/>
    </row>
    <row r="1081" spans="1:13">
      <c r="A1081" s="3">
        <v>45748</v>
      </c>
      <c r="B1081" s="4" t="s">
        <v>4</v>
      </c>
      <c r="C1081" s="4" t="s">
        <v>24</v>
      </c>
      <c r="D1081" s="4" t="s">
        <v>25</v>
      </c>
      <c r="E1081" s="4">
        <v>3</v>
      </c>
      <c r="F1081" s="4">
        <v>9461</v>
      </c>
      <c r="G1081" s="4">
        <v>28383</v>
      </c>
      <c r="H1081" s="4">
        <v>197296</v>
      </c>
      <c r="I1081" s="4"/>
      <c r="J1081" s="4"/>
      <c r="K1081" s="4"/>
      <c r="L1081" s="6">
        <f t="shared" si="16"/>
        <v>0.143859987024572</v>
      </c>
      <c r="M1081" s="4"/>
    </row>
    <row r="1082" spans="1:13">
      <c r="A1082" s="3">
        <v>45818</v>
      </c>
      <c r="B1082" s="4" t="s">
        <v>3</v>
      </c>
      <c r="C1082" s="4" t="s">
        <v>26</v>
      </c>
      <c r="D1082" s="4" t="s">
        <v>27</v>
      </c>
      <c r="E1082" s="4">
        <v>8</v>
      </c>
      <c r="F1082" s="4">
        <v>28852</v>
      </c>
      <c r="G1082" s="4">
        <v>230816</v>
      </c>
      <c r="H1082" s="4">
        <v>19131</v>
      </c>
      <c r="I1082" s="4"/>
      <c r="J1082" s="4"/>
      <c r="K1082" s="4"/>
      <c r="L1082" s="6">
        <f t="shared" si="16"/>
        <v>12.0650253515237</v>
      </c>
      <c r="M1082" s="4"/>
    </row>
    <row r="1083" spans="1:13">
      <c r="A1083" s="3">
        <v>45736</v>
      </c>
      <c r="B1083" s="4" t="s">
        <v>7</v>
      </c>
      <c r="C1083" s="4" t="s">
        <v>26</v>
      </c>
      <c r="D1083" s="4" t="s">
        <v>29</v>
      </c>
      <c r="E1083" s="4">
        <v>1</v>
      </c>
      <c r="F1083" s="4">
        <v>38331</v>
      </c>
      <c r="G1083" s="4">
        <v>38331</v>
      </c>
      <c r="H1083" s="4">
        <v>116514</v>
      </c>
      <c r="I1083" s="4"/>
      <c r="J1083" s="4"/>
      <c r="K1083" s="4"/>
      <c r="L1083" s="6">
        <f t="shared" si="16"/>
        <v>0.328981924918894</v>
      </c>
      <c r="M1083" s="4"/>
    </row>
    <row r="1084" spans="1:13">
      <c r="A1084" s="3">
        <v>45766</v>
      </c>
      <c r="B1084" s="4" t="s">
        <v>5</v>
      </c>
      <c r="C1084" s="4" t="s">
        <v>22</v>
      </c>
      <c r="D1084" s="4" t="s">
        <v>23</v>
      </c>
      <c r="E1084" s="4">
        <v>9</v>
      </c>
      <c r="F1084" s="4">
        <v>7849</v>
      </c>
      <c r="G1084" s="4">
        <v>70641</v>
      </c>
      <c r="H1084" s="4">
        <v>52276</v>
      </c>
      <c r="I1084" s="4"/>
      <c r="J1084" s="4"/>
      <c r="K1084" s="4"/>
      <c r="L1084" s="6">
        <f t="shared" si="16"/>
        <v>1.35130843981942</v>
      </c>
      <c r="M1084" s="4"/>
    </row>
    <row r="1085" spans="1:13">
      <c r="A1085" s="3">
        <v>45794</v>
      </c>
      <c r="B1085" s="4" t="s">
        <v>5</v>
      </c>
      <c r="C1085" s="4" t="s">
        <v>24</v>
      </c>
      <c r="D1085" s="4" t="s">
        <v>25</v>
      </c>
      <c r="E1085" s="4">
        <v>4</v>
      </c>
      <c r="F1085" s="4">
        <v>14540</v>
      </c>
      <c r="G1085" s="4">
        <v>58160</v>
      </c>
      <c r="H1085" s="4">
        <v>71303</v>
      </c>
      <c r="I1085" s="4"/>
      <c r="J1085" s="4"/>
      <c r="K1085" s="4"/>
      <c r="L1085" s="6">
        <f t="shared" si="16"/>
        <v>0.81567395481256</v>
      </c>
      <c r="M1085" s="4"/>
    </row>
    <row r="1086" spans="1:13">
      <c r="A1086" s="3">
        <v>45694</v>
      </c>
      <c r="B1086" s="4" t="s">
        <v>3</v>
      </c>
      <c r="C1086" s="4" t="s">
        <v>24</v>
      </c>
      <c r="D1086" s="4" t="s">
        <v>31</v>
      </c>
      <c r="E1086" s="4">
        <v>8</v>
      </c>
      <c r="F1086" s="4">
        <v>43205</v>
      </c>
      <c r="G1086" s="4">
        <v>345640</v>
      </c>
      <c r="H1086" s="4">
        <v>8185</v>
      </c>
      <c r="I1086" s="4"/>
      <c r="J1086" s="4"/>
      <c r="K1086" s="4"/>
      <c r="L1086" s="6">
        <f t="shared" si="16"/>
        <v>42.2284667073916</v>
      </c>
      <c r="M1086" s="4"/>
    </row>
    <row r="1087" spans="1:13">
      <c r="A1087" s="3">
        <v>45725</v>
      </c>
      <c r="B1087" s="4" t="s">
        <v>2</v>
      </c>
      <c r="C1087" s="4" t="s">
        <v>24</v>
      </c>
      <c r="D1087" s="4" t="s">
        <v>32</v>
      </c>
      <c r="E1087" s="4">
        <v>4</v>
      </c>
      <c r="F1087" s="4">
        <v>13408</v>
      </c>
      <c r="G1087" s="4">
        <v>53632</v>
      </c>
      <c r="H1087" s="4">
        <v>130777</v>
      </c>
      <c r="I1087" s="4"/>
      <c r="J1087" s="4"/>
      <c r="K1087" s="4"/>
      <c r="L1087" s="6">
        <f t="shared" si="16"/>
        <v>0.410102693898774</v>
      </c>
      <c r="M1087" s="4"/>
    </row>
    <row r="1088" spans="1:13">
      <c r="A1088" s="3">
        <v>45786</v>
      </c>
      <c r="B1088" s="4" t="s">
        <v>7</v>
      </c>
      <c r="C1088" s="4" t="s">
        <v>22</v>
      </c>
      <c r="D1088" s="4" t="s">
        <v>23</v>
      </c>
      <c r="E1088" s="4">
        <v>1</v>
      </c>
      <c r="F1088" s="4">
        <v>13207</v>
      </c>
      <c r="G1088" s="4">
        <v>13207</v>
      </c>
      <c r="H1088" s="4">
        <v>46802</v>
      </c>
      <c r="I1088" s="4"/>
      <c r="J1088" s="4"/>
      <c r="K1088" s="4"/>
      <c r="L1088" s="6">
        <f t="shared" si="16"/>
        <v>0.282188795350626</v>
      </c>
      <c r="M1088" s="4"/>
    </row>
    <row r="1089" spans="1:13">
      <c r="A1089" s="3">
        <v>45800</v>
      </c>
      <c r="B1089" s="4" t="s">
        <v>2</v>
      </c>
      <c r="C1089" s="4" t="s">
        <v>28</v>
      </c>
      <c r="D1089" s="4" t="s">
        <v>32</v>
      </c>
      <c r="E1089" s="4">
        <v>7</v>
      </c>
      <c r="F1089" s="4">
        <v>17412</v>
      </c>
      <c r="G1089" s="4">
        <v>121884</v>
      </c>
      <c r="H1089" s="4">
        <v>89567</v>
      </c>
      <c r="I1089" s="4"/>
      <c r="J1089" s="4"/>
      <c r="K1089" s="4"/>
      <c r="L1089" s="6">
        <f t="shared" si="16"/>
        <v>1.36081369254301</v>
      </c>
      <c r="M1089" s="4"/>
    </row>
    <row r="1090" spans="1:13">
      <c r="A1090" s="3">
        <v>45738</v>
      </c>
      <c r="B1090" s="4" t="s">
        <v>8</v>
      </c>
      <c r="C1090" s="4" t="s">
        <v>24</v>
      </c>
      <c r="D1090" s="4" t="s">
        <v>31</v>
      </c>
      <c r="E1090" s="4">
        <v>2</v>
      </c>
      <c r="F1090" s="4">
        <v>31536</v>
      </c>
      <c r="G1090" s="4">
        <v>63072</v>
      </c>
      <c r="H1090" s="4">
        <v>72077</v>
      </c>
      <c r="I1090" s="4"/>
      <c r="J1090" s="4"/>
      <c r="K1090" s="4"/>
      <c r="L1090" s="6">
        <f t="shared" si="16"/>
        <v>0.875064167487548</v>
      </c>
      <c r="M1090" s="4"/>
    </row>
    <row r="1091" spans="1:13">
      <c r="A1091" s="3">
        <v>45773</v>
      </c>
      <c r="B1091" s="4" t="s">
        <v>4</v>
      </c>
      <c r="C1091" s="4" t="s">
        <v>26</v>
      </c>
      <c r="D1091" s="4" t="s">
        <v>23</v>
      </c>
      <c r="E1091" s="4">
        <v>5</v>
      </c>
      <c r="F1091" s="4">
        <v>27411</v>
      </c>
      <c r="G1091" s="4">
        <v>137055</v>
      </c>
      <c r="H1091" s="4">
        <v>99378</v>
      </c>
      <c r="I1091" s="4"/>
      <c r="J1091" s="4"/>
      <c r="K1091" s="4"/>
      <c r="L1091" s="6">
        <f t="shared" ref="L1091:L1154" si="17">G1091/H1091</f>
        <v>1.37912817726257</v>
      </c>
      <c r="M1091" s="4"/>
    </row>
    <row r="1092" spans="1:13">
      <c r="A1092" s="3">
        <v>45683</v>
      </c>
      <c r="B1092" s="4" t="s">
        <v>4</v>
      </c>
      <c r="C1092" s="4" t="s">
        <v>26</v>
      </c>
      <c r="D1092" s="4" t="s">
        <v>33</v>
      </c>
      <c r="E1092" s="4">
        <v>6</v>
      </c>
      <c r="F1092" s="4">
        <v>29332</v>
      </c>
      <c r="G1092" s="4">
        <v>175992</v>
      </c>
      <c r="H1092" s="4">
        <v>100376</v>
      </c>
      <c r="I1092" s="4"/>
      <c r="J1092" s="4"/>
      <c r="K1092" s="4"/>
      <c r="L1092" s="6">
        <f t="shared" si="17"/>
        <v>1.7533274886427</v>
      </c>
      <c r="M1092" s="4"/>
    </row>
    <row r="1093" spans="1:13">
      <c r="A1093" s="3">
        <v>45824</v>
      </c>
      <c r="B1093" s="4" t="s">
        <v>3</v>
      </c>
      <c r="C1093" s="4" t="s">
        <v>28</v>
      </c>
      <c r="D1093" s="4" t="s">
        <v>31</v>
      </c>
      <c r="E1093" s="4">
        <v>7</v>
      </c>
      <c r="F1093" s="4">
        <v>12433</v>
      </c>
      <c r="G1093" s="4">
        <v>87031</v>
      </c>
      <c r="H1093" s="4">
        <v>125385</v>
      </c>
      <c r="I1093" s="4"/>
      <c r="J1093" s="4"/>
      <c r="K1093" s="4"/>
      <c r="L1093" s="6">
        <f t="shared" si="17"/>
        <v>0.694110140766439</v>
      </c>
      <c r="M1093" s="4"/>
    </row>
    <row r="1094" spans="1:13">
      <c r="A1094" s="3">
        <v>45796</v>
      </c>
      <c r="B1094" s="4" t="s">
        <v>3</v>
      </c>
      <c r="C1094" s="4" t="s">
        <v>26</v>
      </c>
      <c r="D1094" s="4" t="s">
        <v>25</v>
      </c>
      <c r="E1094" s="4">
        <v>4</v>
      </c>
      <c r="F1094" s="4">
        <v>5305</v>
      </c>
      <c r="G1094" s="4">
        <v>21220</v>
      </c>
      <c r="H1094" s="4">
        <v>106982</v>
      </c>
      <c r="I1094" s="4"/>
      <c r="J1094" s="4"/>
      <c r="K1094" s="4"/>
      <c r="L1094" s="6">
        <f t="shared" si="17"/>
        <v>0.198351124488232</v>
      </c>
      <c r="M1094" s="4"/>
    </row>
    <row r="1095" spans="1:13">
      <c r="A1095" s="3">
        <v>45838</v>
      </c>
      <c r="B1095" s="4" t="s">
        <v>7</v>
      </c>
      <c r="C1095" s="4" t="s">
        <v>28</v>
      </c>
      <c r="D1095" s="4" t="s">
        <v>29</v>
      </c>
      <c r="E1095" s="4">
        <v>6</v>
      </c>
      <c r="F1095" s="4">
        <v>7115</v>
      </c>
      <c r="G1095" s="4">
        <v>42690</v>
      </c>
      <c r="H1095" s="4">
        <v>167094</v>
      </c>
      <c r="I1095" s="4"/>
      <c r="J1095" s="4"/>
      <c r="K1095" s="4"/>
      <c r="L1095" s="6">
        <f t="shared" si="17"/>
        <v>0.2554849366225</v>
      </c>
      <c r="M1095" s="4"/>
    </row>
    <row r="1096" spans="1:13">
      <c r="A1096" s="3">
        <v>45837</v>
      </c>
      <c r="B1096" s="4" t="s">
        <v>8</v>
      </c>
      <c r="C1096" s="4" t="s">
        <v>26</v>
      </c>
      <c r="D1096" s="4" t="s">
        <v>30</v>
      </c>
      <c r="E1096" s="4">
        <v>4</v>
      </c>
      <c r="F1096" s="4">
        <v>4676</v>
      </c>
      <c r="G1096" s="4">
        <v>18704</v>
      </c>
      <c r="H1096" s="4">
        <v>19829</v>
      </c>
      <c r="I1096" s="4"/>
      <c r="J1096" s="4"/>
      <c r="K1096" s="4"/>
      <c r="L1096" s="6">
        <f t="shared" si="17"/>
        <v>0.943264915023451</v>
      </c>
      <c r="M1096" s="4"/>
    </row>
    <row r="1097" spans="1:13">
      <c r="A1097" s="3">
        <v>45761</v>
      </c>
      <c r="B1097" s="4" t="s">
        <v>4</v>
      </c>
      <c r="C1097" s="4" t="s">
        <v>28</v>
      </c>
      <c r="D1097" s="4" t="s">
        <v>25</v>
      </c>
      <c r="E1097" s="4">
        <v>10</v>
      </c>
      <c r="F1097" s="4">
        <v>43103</v>
      </c>
      <c r="G1097" s="4">
        <v>431030</v>
      </c>
      <c r="H1097" s="4">
        <v>179150</v>
      </c>
      <c r="I1097" s="4"/>
      <c r="J1097" s="4"/>
      <c r="K1097" s="4"/>
      <c r="L1097" s="6">
        <f t="shared" si="17"/>
        <v>2.40597264861848</v>
      </c>
      <c r="M1097" s="4"/>
    </row>
    <row r="1098" spans="1:13">
      <c r="A1098" s="3">
        <v>45665</v>
      </c>
      <c r="B1098" s="4" t="s">
        <v>4</v>
      </c>
      <c r="C1098" s="4" t="s">
        <v>24</v>
      </c>
      <c r="D1098" s="4" t="s">
        <v>25</v>
      </c>
      <c r="E1098" s="4">
        <v>10</v>
      </c>
      <c r="F1098" s="4">
        <v>26172</v>
      </c>
      <c r="G1098" s="4">
        <v>261720</v>
      </c>
      <c r="H1098" s="4">
        <v>155838</v>
      </c>
      <c r="I1098" s="4"/>
      <c r="J1098" s="4"/>
      <c r="K1098" s="4"/>
      <c r="L1098" s="6">
        <f t="shared" si="17"/>
        <v>1.67943633773534</v>
      </c>
      <c r="M1098" s="4"/>
    </row>
    <row r="1099" spans="1:13">
      <c r="A1099" s="3">
        <v>45777</v>
      </c>
      <c r="B1099" s="4" t="s">
        <v>7</v>
      </c>
      <c r="C1099" s="4" t="s">
        <v>28</v>
      </c>
      <c r="D1099" s="4" t="s">
        <v>29</v>
      </c>
      <c r="E1099" s="4">
        <v>9</v>
      </c>
      <c r="F1099" s="4">
        <v>37333</v>
      </c>
      <c r="G1099" s="4">
        <v>335997</v>
      </c>
      <c r="H1099" s="4">
        <v>49556</v>
      </c>
      <c r="I1099" s="4"/>
      <c r="J1099" s="4"/>
      <c r="K1099" s="4"/>
      <c r="L1099" s="6">
        <f t="shared" si="17"/>
        <v>6.78014771167972</v>
      </c>
      <c r="M1099" s="4"/>
    </row>
    <row r="1100" spans="1:13">
      <c r="A1100" s="3">
        <v>45672</v>
      </c>
      <c r="B1100" s="4" t="s">
        <v>3</v>
      </c>
      <c r="C1100" s="4" t="s">
        <v>26</v>
      </c>
      <c r="D1100" s="4" t="s">
        <v>29</v>
      </c>
      <c r="E1100" s="4">
        <v>1</v>
      </c>
      <c r="F1100" s="4">
        <v>37072</v>
      </c>
      <c r="G1100" s="4">
        <v>37072</v>
      </c>
      <c r="H1100" s="4">
        <v>95580</v>
      </c>
      <c r="I1100" s="4"/>
      <c r="J1100" s="4"/>
      <c r="K1100" s="4"/>
      <c r="L1100" s="6">
        <f t="shared" si="17"/>
        <v>0.387863569784474</v>
      </c>
      <c r="M1100" s="4"/>
    </row>
    <row r="1101" spans="1:13">
      <c r="A1101" s="3">
        <v>45706</v>
      </c>
      <c r="B1101" s="4" t="s">
        <v>6</v>
      </c>
      <c r="C1101" s="4" t="s">
        <v>24</v>
      </c>
      <c r="D1101" s="4" t="s">
        <v>31</v>
      </c>
      <c r="E1101" s="4">
        <v>1</v>
      </c>
      <c r="F1101" s="4">
        <v>17807</v>
      </c>
      <c r="G1101" s="4">
        <v>17807</v>
      </c>
      <c r="H1101" s="4">
        <v>73500</v>
      </c>
      <c r="I1101" s="4"/>
      <c r="J1101" s="4"/>
      <c r="K1101" s="4"/>
      <c r="L1101" s="6">
        <f t="shared" si="17"/>
        <v>0.242272108843537</v>
      </c>
      <c r="M1101" s="4"/>
    </row>
    <row r="1102" spans="1:13">
      <c r="A1102" s="3">
        <v>45709</v>
      </c>
      <c r="B1102" s="4" t="s">
        <v>3</v>
      </c>
      <c r="C1102" s="4" t="s">
        <v>24</v>
      </c>
      <c r="D1102" s="4" t="s">
        <v>33</v>
      </c>
      <c r="E1102" s="4">
        <v>9</v>
      </c>
      <c r="F1102" s="4">
        <v>10609</v>
      </c>
      <c r="G1102" s="4">
        <v>95481</v>
      </c>
      <c r="H1102" s="4">
        <v>61650</v>
      </c>
      <c r="I1102" s="4"/>
      <c r="J1102" s="4"/>
      <c r="K1102" s="4"/>
      <c r="L1102" s="6">
        <f t="shared" si="17"/>
        <v>1.54875912408759</v>
      </c>
      <c r="M1102" s="4"/>
    </row>
    <row r="1103" spans="1:13">
      <c r="A1103" s="3">
        <v>45731</v>
      </c>
      <c r="B1103" s="4" t="s">
        <v>3</v>
      </c>
      <c r="C1103" s="4" t="s">
        <v>26</v>
      </c>
      <c r="D1103" s="4" t="s">
        <v>23</v>
      </c>
      <c r="E1103" s="4">
        <v>8</v>
      </c>
      <c r="F1103" s="4">
        <v>42352</v>
      </c>
      <c r="G1103" s="4">
        <v>338816</v>
      </c>
      <c r="H1103" s="4">
        <v>54904</v>
      </c>
      <c r="I1103" s="4"/>
      <c r="J1103" s="4"/>
      <c r="K1103" s="4"/>
      <c r="L1103" s="6">
        <f t="shared" si="17"/>
        <v>6.17106221768906</v>
      </c>
      <c r="M1103" s="4"/>
    </row>
    <row r="1104" spans="1:13">
      <c r="A1104" s="3">
        <v>45767</v>
      </c>
      <c r="B1104" s="4" t="s">
        <v>8</v>
      </c>
      <c r="C1104" s="4" t="s">
        <v>26</v>
      </c>
      <c r="D1104" s="4" t="s">
        <v>32</v>
      </c>
      <c r="E1104" s="4">
        <v>3</v>
      </c>
      <c r="F1104" s="4">
        <v>38280</v>
      </c>
      <c r="G1104" s="4">
        <v>114840</v>
      </c>
      <c r="H1104" s="4">
        <v>34246</v>
      </c>
      <c r="I1104" s="4"/>
      <c r="J1104" s="4"/>
      <c r="K1104" s="4"/>
      <c r="L1104" s="6">
        <f t="shared" si="17"/>
        <v>3.35338433685686</v>
      </c>
      <c r="M1104" s="4"/>
    </row>
    <row r="1105" spans="1:13">
      <c r="A1105" s="3">
        <v>45793</v>
      </c>
      <c r="B1105" s="4" t="s">
        <v>4</v>
      </c>
      <c r="C1105" s="4" t="s">
        <v>26</v>
      </c>
      <c r="D1105" s="4" t="s">
        <v>32</v>
      </c>
      <c r="E1105" s="4">
        <v>10</v>
      </c>
      <c r="F1105" s="4">
        <v>44319</v>
      </c>
      <c r="G1105" s="4">
        <v>443190</v>
      </c>
      <c r="H1105" s="4">
        <v>154677</v>
      </c>
      <c r="I1105" s="4"/>
      <c r="J1105" s="4"/>
      <c r="K1105" s="4"/>
      <c r="L1105" s="6">
        <f t="shared" si="17"/>
        <v>2.86526115712097</v>
      </c>
      <c r="M1105" s="4"/>
    </row>
    <row r="1106" spans="1:13">
      <c r="A1106" s="3">
        <v>45838</v>
      </c>
      <c r="B1106" s="4" t="s">
        <v>4</v>
      </c>
      <c r="C1106" s="4" t="s">
        <v>24</v>
      </c>
      <c r="D1106" s="4" t="s">
        <v>32</v>
      </c>
      <c r="E1106" s="4">
        <v>5</v>
      </c>
      <c r="F1106" s="4">
        <v>41470</v>
      </c>
      <c r="G1106" s="4">
        <v>207350</v>
      </c>
      <c r="H1106" s="4">
        <v>185682</v>
      </c>
      <c r="I1106" s="4"/>
      <c r="J1106" s="4"/>
      <c r="K1106" s="4"/>
      <c r="L1106" s="6">
        <f t="shared" si="17"/>
        <v>1.11669413298004</v>
      </c>
      <c r="M1106" s="4"/>
    </row>
    <row r="1107" spans="1:13">
      <c r="A1107" s="3">
        <v>45781</v>
      </c>
      <c r="B1107" s="4" t="s">
        <v>4</v>
      </c>
      <c r="C1107" s="4" t="s">
        <v>24</v>
      </c>
      <c r="D1107" s="4" t="s">
        <v>25</v>
      </c>
      <c r="E1107" s="4">
        <v>8</v>
      </c>
      <c r="F1107" s="4">
        <v>32503</v>
      </c>
      <c r="G1107" s="4">
        <v>260024</v>
      </c>
      <c r="H1107" s="4">
        <v>19732</v>
      </c>
      <c r="I1107" s="4"/>
      <c r="J1107" s="4"/>
      <c r="K1107" s="4"/>
      <c r="L1107" s="6">
        <f t="shared" si="17"/>
        <v>13.1777822825867</v>
      </c>
      <c r="M1107" s="4"/>
    </row>
    <row r="1108" spans="1:13">
      <c r="A1108" s="3">
        <v>45704</v>
      </c>
      <c r="B1108" s="4" t="s">
        <v>5</v>
      </c>
      <c r="C1108" s="4" t="s">
        <v>28</v>
      </c>
      <c r="D1108" s="4" t="s">
        <v>30</v>
      </c>
      <c r="E1108" s="4">
        <v>2</v>
      </c>
      <c r="F1108" s="4">
        <v>39463</v>
      </c>
      <c r="G1108" s="4">
        <v>78926</v>
      </c>
      <c r="H1108" s="4">
        <v>170712</v>
      </c>
      <c r="I1108" s="4"/>
      <c r="J1108" s="4"/>
      <c r="K1108" s="4"/>
      <c r="L1108" s="6">
        <f t="shared" si="17"/>
        <v>0.462334223721824</v>
      </c>
      <c r="M1108" s="4"/>
    </row>
    <row r="1109" spans="1:13">
      <c r="A1109" s="3">
        <v>45674</v>
      </c>
      <c r="B1109" s="4" t="s">
        <v>6</v>
      </c>
      <c r="C1109" s="4" t="s">
        <v>24</v>
      </c>
      <c r="D1109" s="4" t="s">
        <v>31</v>
      </c>
      <c r="E1109" s="4">
        <v>5</v>
      </c>
      <c r="F1109" s="4">
        <v>14929</v>
      </c>
      <c r="G1109" s="4">
        <v>74645</v>
      </c>
      <c r="H1109" s="4">
        <v>25220</v>
      </c>
      <c r="I1109" s="4"/>
      <c r="J1109" s="4"/>
      <c r="K1109" s="4"/>
      <c r="L1109" s="6">
        <f t="shared" si="17"/>
        <v>2.95975416336241</v>
      </c>
      <c r="M1109" s="4"/>
    </row>
    <row r="1110" spans="1:13">
      <c r="A1110" s="3">
        <v>45828</v>
      </c>
      <c r="B1110" s="4" t="s">
        <v>2</v>
      </c>
      <c r="C1110" s="4" t="s">
        <v>22</v>
      </c>
      <c r="D1110" s="4" t="s">
        <v>29</v>
      </c>
      <c r="E1110" s="4">
        <v>10</v>
      </c>
      <c r="F1110" s="4">
        <v>42463</v>
      </c>
      <c r="G1110" s="4">
        <v>424630</v>
      </c>
      <c r="H1110" s="4">
        <v>23099</v>
      </c>
      <c r="I1110" s="4"/>
      <c r="J1110" s="4"/>
      <c r="K1110" s="4"/>
      <c r="L1110" s="6">
        <f t="shared" si="17"/>
        <v>18.3830468851465</v>
      </c>
      <c r="M1110" s="4"/>
    </row>
    <row r="1111" spans="1:13">
      <c r="A1111" s="3">
        <v>45822</v>
      </c>
      <c r="B1111" s="4" t="s">
        <v>6</v>
      </c>
      <c r="C1111" s="4" t="s">
        <v>24</v>
      </c>
      <c r="D1111" s="4" t="s">
        <v>30</v>
      </c>
      <c r="E1111" s="4">
        <v>5</v>
      </c>
      <c r="F1111" s="4">
        <v>25268</v>
      </c>
      <c r="G1111" s="4">
        <v>126340</v>
      </c>
      <c r="H1111" s="4">
        <v>74367</v>
      </c>
      <c r="I1111" s="4"/>
      <c r="J1111" s="4"/>
      <c r="K1111" s="4"/>
      <c r="L1111" s="6">
        <f t="shared" si="17"/>
        <v>1.69887181142173</v>
      </c>
      <c r="M1111" s="4"/>
    </row>
    <row r="1112" spans="1:13">
      <c r="A1112" s="3">
        <v>45697</v>
      </c>
      <c r="B1112" s="4" t="s">
        <v>3</v>
      </c>
      <c r="C1112" s="4" t="s">
        <v>24</v>
      </c>
      <c r="D1112" s="4" t="s">
        <v>25</v>
      </c>
      <c r="E1112" s="4">
        <v>7</v>
      </c>
      <c r="F1112" s="4">
        <v>16064</v>
      </c>
      <c r="G1112" s="4">
        <v>112448</v>
      </c>
      <c r="H1112" s="4">
        <v>175690</v>
      </c>
      <c r="I1112" s="4"/>
      <c r="J1112" s="4"/>
      <c r="K1112" s="4"/>
      <c r="L1112" s="6">
        <f t="shared" si="17"/>
        <v>0.640036427798964</v>
      </c>
      <c r="M1112" s="4"/>
    </row>
    <row r="1113" spans="1:13">
      <c r="A1113" s="3">
        <v>45818</v>
      </c>
      <c r="B1113" s="4" t="s">
        <v>2</v>
      </c>
      <c r="C1113" s="4" t="s">
        <v>24</v>
      </c>
      <c r="D1113" s="4" t="s">
        <v>31</v>
      </c>
      <c r="E1113" s="4">
        <v>3</v>
      </c>
      <c r="F1113" s="4">
        <v>13694</v>
      </c>
      <c r="G1113" s="4">
        <v>41082</v>
      </c>
      <c r="H1113" s="4">
        <v>194553</v>
      </c>
      <c r="I1113" s="4"/>
      <c r="J1113" s="4"/>
      <c r="K1113" s="4"/>
      <c r="L1113" s="6">
        <f t="shared" si="17"/>
        <v>0.211160968990455</v>
      </c>
      <c r="M1113" s="4"/>
    </row>
    <row r="1114" spans="1:13">
      <c r="A1114" s="3">
        <v>45769</v>
      </c>
      <c r="B1114" s="4" t="s">
        <v>6</v>
      </c>
      <c r="C1114" s="4" t="s">
        <v>26</v>
      </c>
      <c r="D1114" s="4" t="s">
        <v>32</v>
      </c>
      <c r="E1114" s="4">
        <v>5</v>
      </c>
      <c r="F1114" s="4">
        <v>49629</v>
      </c>
      <c r="G1114" s="4">
        <v>248145</v>
      </c>
      <c r="H1114" s="4">
        <v>93906</v>
      </c>
      <c r="I1114" s="4"/>
      <c r="J1114" s="4"/>
      <c r="K1114" s="4"/>
      <c r="L1114" s="6">
        <f t="shared" si="17"/>
        <v>2.64248290844036</v>
      </c>
      <c r="M1114" s="4"/>
    </row>
    <row r="1115" spans="1:13">
      <c r="A1115" s="3">
        <v>45710</v>
      </c>
      <c r="B1115" s="4" t="s">
        <v>7</v>
      </c>
      <c r="C1115" s="4" t="s">
        <v>26</v>
      </c>
      <c r="D1115" s="4" t="s">
        <v>30</v>
      </c>
      <c r="E1115" s="4">
        <v>9</v>
      </c>
      <c r="F1115" s="4">
        <v>39782</v>
      </c>
      <c r="G1115" s="4">
        <v>358038</v>
      </c>
      <c r="H1115" s="4">
        <v>121021</v>
      </c>
      <c r="I1115" s="4"/>
      <c r="J1115" s="4"/>
      <c r="K1115" s="4"/>
      <c r="L1115" s="6">
        <f t="shared" si="17"/>
        <v>2.95847828062898</v>
      </c>
      <c r="M1115" s="4"/>
    </row>
    <row r="1116" spans="1:13">
      <c r="A1116" s="3">
        <v>45742</v>
      </c>
      <c r="B1116" s="4" t="s">
        <v>6</v>
      </c>
      <c r="C1116" s="4" t="s">
        <v>26</v>
      </c>
      <c r="D1116" s="4" t="s">
        <v>30</v>
      </c>
      <c r="E1116" s="4">
        <v>3</v>
      </c>
      <c r="F1116" s="4">
        <v>26422</v>
      </c>
      <c r="G1116" s="4">
        <v>79266</v>
      </c>
      <c r="H1116" s="4">
        <v>12093</v>
      </c>
      <c r="I1116" s="4"/>
      <c r="J1116" s="4"/>
      <c r="K1116" s="4"/>
      <c r="L1116" s="6">
        <f t="shared" si="17"/>
        <v>6.55470106673282</v>
      </c>
      <c r="M1116" s="4"/>
    </row>
    <row r="1117" spans="1:13">
      <c r="A1117" s="3">
        <v>45797</v>
      </c>
      <c r="B1117" s="4" t="s">
        <v>5</v>
      </c>
      <c r="C1117" s="4" t="s">
        <v>24</v>
      </c>
      <c r="D1117" s="4" t="s">
        <v>32</v>
      </c>
      <c r="E1117" s="4">
        <v>10</v>
      </c>
      <c r="F1117" s="4">
        <v>20405</v>
      </c>
      <c r="G1117" s="4">
        <v>204050</v>
      </c>
      <c r="H1117" s="4">
        <v>7809</v>
      </c>
      <c r="I1117" s="4"/>
      <c r="J1117" s="4"/>
      <c r="K1117" s="4"/>
      <c r="L1117" s="6">
        <f t="shared" si="17"/>
        <v>26.1301062876169</v>
      </c>
      <c r="M1117" s="4"/>
    </row>
    <row r="1118" spans="1:13">
      <c r="A1118" s="3">
        <v>45662</v>
      </c>
      <c r="B1118" s="4" t="s">
        <v>8</v>
      </c>
      <c r="C1118" s="4" t="s">
        <v>28</v>
      </c>
      <c r="D1118" s="4" t="s">
        <v>30</v>
      </c>
      <c r="E1118" s="4">
        <v>10</v>
      </c>
      <c r="F1118" s="4">
        <v>48441</v>
      </c>
      <c r="G1118" s="4">
        <v>484410</v>
      </c>
      <c r="H1118" s="4">
        <v>83747</v>
      </c>
      <c r="I1118" s="4"/>
      <c r="J1118" s="4"/>
      <c r="K1118" s="4"/>
      <c r="L1118" s="6">
        <f t="shared" si="17"/>
        <v>5.78420719548163</v>
      </c>
      <c r="M1118" s="4"/>
    </row>
    <row r="1119" spans="1:13">
      <c r="A1119" s="3">
        <v>45704</v>
      </c>
      <c r="B1119" s="4" t="s">
        <v>6</v>
      </c>
      <c r="C1119" s="4" t="s">
        <v>28</v>
      </c>
      <c r="D1119" s="4" t="s">
        <v>25</v>
      </c>
      <c r="E1119" s="4">
        <v>1</v>
      </c>
      <c r="F1119" s="4">
        <v>36311</v>
      </c>
      <c r="G1119" s="4">
        <v>36311</v>
      </c>
      <c r="H1119" s="4">
        <v>136845</v>
      </c>
      <c r="I1119" s="4"/>
      <c r="J1119" s="4"/>
      <c r="K1119" s="4"/>
      <c r="L1119" s="6">
        <f t="shared" si="17"/>
        <v>0.265344002338412</v>
      </c>
      <c r="M1119" s="4"/>
    </row>
    <row r="1120" spans="1:13">
      <c r="A1120" s="3">
        <v>45762</v>
      </c>
      <c r="B1120" s="4" t="s">
        <v>3</v>
      </c>
      <c r="C1120" s="4" t="s">
        <v>24</v>
      </c>
      <c r="D1120" s="4" t="s">
        <v>25</v>
      </c>
      <c r="E1120" s="4">
        <v>10</v>
      </c>
      <c r="F1120" s="4">
        <v>34223</v>
      </c>
      <c r="G1120" s="4">
        <v>342230</v>
      </c>
      <c r="H1120" s="4">
        <v>125083</v>
      </c>
      <c r="I1120" s="4"/>
      <c r="J1120" s="4"/>
      <c r="K1120" s="4"/>
      <c r="L1120" s="6">
        <f t="shared" si="17"/>
        <v>2.73602328054172</v>
      </c>
      <c r="M1120" s="4"/>
    </row>
    <row r="1121" spans="1:13">
      <c r="A1121" s="3">
        <v>45748</v>
      </c>
      <c r="B1121" s="4" t="s">
        <v>3</v>
      </c>
      <c r="C1121" s="4" t="s">
        <v>28</v>
      </c>
      <c r="D1121" s="4" t="s">
        <v>29</v>
      </c>
      <c r="E1121" s="4">
        <v>5</v>
      </c>
      <c r="F1121" s="4">
        <v>32733</v>
      </c>
      <c r="G1121" s="4">
        <v>163665</v>
      </c>
      <c r="H1121" s="4">
        <v>90313</v>
      </c>
      <c r="I1121" s="4"/>
      <c r="J1121" s="4"/>
      <c r="K1121" s="4"/>
      <c r="L1121" s="6">
        <f t="shared" si="17"/>
        <v>1.81219757952897</v>
      </c>
      <c r="M1121" s="4"/>
    </row>
    <row r="1122" spans="1:13">
      <c r="A1122" s="3">
        <v>45730</v>
      </c>
      <c r="B1122" s="4" t="s">
        <v>8</v>
      </c>
      <c r="C1122" s="4" t="s">
        <v>22</v>
      </c>
      <c r="D1122" s="4" t="s">
        <v>30</v>
      </c>
      <c r="E1122" s="4">
        <v>3</v>
      </c>
      <c r="F1122" s="4">
        <v>40747</v>
      </c>
      <c r="G1122" s="4">
        <v>122241</v>
      </c>
      <c r="H1122" s="4">
        <v>189388</v>
      </c>
      <c r="I1122" s="4"/>
      <c r="J1122" s="4"/>
      <c r="K1122" s="4"/>
      <c r="L1122" s="6">
        <f t="shared" si="17"/>
        <v>0.645452721397343</v>
      </c>
      <c r="M1122" s="4"/>
    </row>
    <row r="1123" spans="1:13">
      <c r="A1123" s="3">
        <v>45753</v>
      </c>
      <c r="B1123" s="4" t="s">
        <v>8</v>
      </c>
      <c r="C1123" s="4" t="s">
        <v>28</v>
      </c>
      <c r="D1123" s="4" t="s">
        <v>27</v>
      </c>
      <c r="E1123" s="4">
        <v>9</v>
      </c>
      <c r="F1123" s="4">
        <v>33073</v>
      </c>
      <c r="G1123" s="4">
        <v>297657</v>
      </c>
      <c r="H1123" s="4">
        <v>105111</v>
      </c>
      <c r="I1123" s="4"/>
      <c r="J1123" s="4"/>
      <c r="K1123" s="4"/>
      <c r="L1123" s="6">
        <f t="shared" si="17"/>
        <v>2.83183491737306</v>
      </c>
      <c r="M1123" s="4"/>
    </row>
    <row r="1124" spans="1:13">
      <c r="A1124" s="3">
        <v>45779</v>
      </c>
      <c r="B1124" s="4" t="s">
        <v>2</v>
      </c>
      <c r="C1124" s="4" t="s">
        <v>22</v>
      </c>
      <c r="D1124" s="4" t="s">
        <v>23</v>
      </c>
      <c r="E1124" s="4">
        <v>2</v>
      </c>
      <c r="F1124" s="4">
        <v>2323</v>
      </c>
      <c r="G1124" s="4">
        <v>4646</v>
      </c>
      <c r="H1124" s="4">
        <v>5791</v>
      </c>
      <c r="I1124" s="4"/>
      <c r="J1124" s="4"/>
      <c r="K1124" s="4"/>
      <c r="L1124" s="6">
        <f t="shared" si="17"/>
        <v>0.802279399067519</v>
      </c>
      <c r="M1124" s="4"/>
    </row>
    <row r="1125" spans="1:13">
      <c r="A1125" s="3">
        <v>45818</v>
      </c>
      <c r="B1125" s="4" t="s">
        <v>6</v>
      </c>
      <c r="C1125" s="4" t="s">
        <v>24</v>
      </c>
      <c r="D1125" s="4" t="s">
        <v>29</v>
      </c>
      <c r="E1125" s="4">
        <v>9</v>
      </c>
      <c r="F1125" s="4">
        <v>14354</v>
      </c>
      <c r="G1125" s="4">
        <v>129186</v>
      </c>
      <c r="H1125" s="4">
        <v>197853</v>
      </c>
      <c r="I1125" s="4"/>
      <c r="J1125" s="4"/>
      <c r="K1125" s="4"/>
      <c r="L1125" s="6">
        <f t="shared" si="17"/>
        <v>0.652939303422238</v>
      </c>
      <c r="M1125" s="4"/>
    </row>
    <row r="1126" spans="1:13">
      <c r="A1126" s="3">
        <v>45811</v>
      </c>
      <c r="B1126" s="4" t="s">
        <v>4</v>
      </c>
      <c r="C1126" s="4" t="s">
        <v>24</v>
      </c>
      <c r="D1126" s="4" t="s">
        <v>27</v>
      </c>
      <c r="E1126" s="4">
        <v>7</v>
      </c>
      <c r="F1126" s="4">
        <v>4223</v>
      </c>
      <c r="G1126" s="4">
        <v>29561</v>
      </c>
      <c r="H1126" s="4">
        <v>140404</v>
      </c>
      <c r="I1126" s="4"/>
      <c r="J1126" s="4"/>
      <c r="K1126" s="4"/>
      <c r="L1126" s="6">
        <f t="shared" si="17"/>
        <v>0.21054243468847</v>
      </c>
      <c r="M1126" s="4"/>
    </row>
    <row r="1127" spans="1:13">
      <c r="A1127" s="3">
        <v>45680</v>
      </c>
      <c r="B1127" s="4" t="s">
        <v>2</v>
      </c>
      <c r="C1127" s="4" t="s">
        <v>28</v>
      </c>
      <c r="D1127" s="4" t="s">
        <v>31</v>
      </c>
      <c r="E1127" s="4">
        <v>5</v>
      </c>
      <c r="F1127" s="4">
        <v>44232</v>
      </c>
      <c r="G1127" s="4">
        <v>221160</v>
      </c>
      <c r="H1127" s="4">
        <v>51139</v>
      </c>
      <c r="I1127" s="4"/>
      <c r="J1127" s="4"/>
      <c r="K1127" s="4"/>
      <c r="L1127" s="6">
        <f t="shared" si="17"/>
        <v>4.32468370519564</v>
      </c>
      <c r="M1127" s="4"/>
    </row>
    <row r="1128" spans="1:13">
      <c r="A1128" s="3">
        <v>45764</v>
      </c>
      <c r="B1128" s="4" t="s">
        <v>3</v>
      </c>
      <c r="C1128" s="4" t="s">
        <v>24</v>
      </c>
      <c r="D1128" s="4" t="s">
        <v>27</v>
      </c>
      <c r="E1128" s="4">
        <v>9</v>
      </c>
      <c r="F1128" s="4">
        <v>1008</v>
      </c>
      <c r="G1128" s="4">
        <v>9072</v>
      </c>
      <c r="H1128" s="4">
        <v>82665</v>
      </c>
      <c r="I1128" s="4"/>
      <c r="J1128" s="4"/>
      <c r="K1128" s="4"/>
      <c r="L1128" s="6">
        <f t="shared" si="17"/>
        <v>0.109744148067501</v>
      </c>
      <c r="M1128" s="4"/>
    </row>
    <row r="1129" spans="1:13">
      <c r="A1129" s="3">
        <v>45825</v>
      </c>
      <c r="B1129" s="4" t="s">
        <v>5</v>
      </c>
      <c r="C1129" s="4" t="s">
        <v>24</v>
      </c>
      <c r="D1129" s="4" t="s">
        <v>32</v>
      </c>
      <c r="E1129" s="4">
        <v>1</v>
      </c>
      <c r="F1129" s="4">
        <v>9204</v>
      </c>
      <c r="G1129" s="4">
        <v>9204</v>
      </c>
      <c r="H1129" s="4">
        <v>42627</v>
      </c>
      <c r="I1129" s="4"/>
      <c r="J1129" s="4"/>
      <c r="K1129" s="4"/>
      <c r="L1129" s="6">
        <f t="shared" si="17"/>
        <v>0.215919487648673</v>
      </c>
      <c r="M1129" s="4"/>
    </row>
    <row r="1130" spans="1:13">
      <c r="A1130" s="3">
        <v>45687</v>
      </c>
      <c r="B1130" s="4" t="s">
        <v>5</v>
      </c>
      <c r="C1130" s="4" t="s">
        <v>26</v>
      </c>
      <c r="D1130" s="4" t="s">
        <v>30</v>
      </c>
      <c r="E1130" s="4">
        <v>4</v>
      </c>
      <c r="F1130" s="4">
        <v>28192</v>
      </c>
      <c r="G1130" s="4">
        <v>112768</v>
      </c>
      <c r="H1130" s="4">
        <v>186080</v>
      </c>
      <c r="I1130" s="4"/>
      <c r="J1130" s="4"/>
      <c r="K1130" s="4"/>
      <c r="L1130" s="6">
        <f t="shared" si="17"/>
        <v>0.606018916595013</v>
      </c>
      <c r="M1130" s="4"/>
    </row>
    <row r="1131" spans="1:13">
      <c r="A1131" s="3">
        <v>45838</v>
      </c>
      <c r="B1131" s="4" t="s">
        <v>5</v>
      </c>
      <c r="C1131" s="4" t="s">
        <v>22</v>
      </c>
      <c r="D1131" s="4" t="s">
        <v>29</v>
      </c>
      <c r="E1131" s="4">
        <v>8</v>
      </c>
      <c r="F1131" s="4">
        <v>17911</v>
      </c>
      <c r="G1131" s="4">
        <v>143288</v>
      </c>
      <c r="H1131" s="4">
        <v>173741</v>
      </c>
      <c r="I1131" s="4"/>
      <c r="J1131" s="4"/>
      <c r="K1131" s="4"/>
      <c r="L1131" s="6">
        <f t="shared" si="17"/>
        <v>0.824721856096143</v>
      </c>
      <c r="M1131" s="4"/>
    </row>
    <row r="1132" spans="1:13">
      <c r="A1132" s="3">
        <v>45800</v>
      </c>
      <c r="B1132" s="4" t="s">
        <v>6</v>
      </c>
      <c r="C1132" s="4" t="s">
        <v>22</v>
      </c>
      <c r="D1132" s="4" t="s">
        <v>27</v>
      </c>
      <c r="E1132" s="4">
        <v>6</v>
      </c>
      <c r="F1132" s="4">
        <v>34085</v>
      </c>
      <c r="G1132" s="4">
        <v>204510</v>
      </c>
      <c r="H1132" s="4">
        <v>81594</v>
      </c>
      <c r="I1132" s="4"/>
      <c r="J1132" s="4"/>
      <c r="K1132" s="4"/>
      <c r="L1132" s="6">
        <f t="shared" si="17"/>
        <v>2.50643429663946</v>
      </c>
      <c r="M1132" s="4"/>
    </row>
    <row r="1133" spans="1:13">
      <c r="A1133" s="3">
        <v>45741</v>
      </c>
      <c r="B1133" s="4" t="s">
        <v>6</v>
      </c>
      <c r="C1133" s="4" t="s">
        <v>28</v>
      </c>
      <c r="D1133" s="4" t="s">
        <v>27</v>
      </c>
      <c r="E1133" s="4">
        <v>2</v>
      </c>
      <c r="F1133" s="4">
        <v>8841</v>
      </c>
      <c r="G1133" s="4">
        <v>17682</v>
      </c>
      <c r="H1133" s="4">
        <v>193701</v>
      </c>
      <c r="I1133" s="4"/>
      <c r="J1133" s="4"/>
      <c r="K1133" s="4"/>
      <c r="L1133" s="6">
        <f t="shared" si="17"/>
        <v>0.091285021760342</v>
      </c>
      <c r="M1133" s="4"/>
    </row>
    <row r="1134" spans="1:13">
      <c r="A1134" s="3">
        <v>45664</v>
      </c>
      <c r="B1134" s="4" t="s">
        <v>7</v>
      </c>
      <c r="C1134" s="4" t="s">
        <v>28</v>
      </c>
      <c r="D1134" s="4" t="s">
        <v>33</v>
      </c>
      <c r="E1134" s="4">
        <v>2</v>
      </c>
      <c r="F1134" s="4">
        <v>27173</v>
      </c>
      <c r="G1134" s="4">
        <v>54346</v>
      </c>
      <c r="H1134" s="4">
        <v>124458</v>
      </c>
      <c r="I1134" s="4"/>
      <c r="J1134" s="4"/>
      <c r="K1134" s="4"/>
      <c r="L1134" s="6">
        <f t="shared" si="17"/>
        <v>0.436661363672886</v>
      </c>
      <c r="M1134" s="4"/>
    </row>
    <row r="1135" spans="1:13">
      <c r="A1135" s="3">
        <v>45710</v>
      </c>
      <c r="B1135" s="4" t="s">
        <v>7</v>
      </c>
      <c r="C1135" s="4" t="s">
        <v>24</v>
      </c>
      <c r="D1135" s="4" t="s">
        <v>33</v>
      </c>
      <c r="E1135" s="4">
        <v>5</v>
      </c>
      <c r="F1135" s="4">
        <v>3235</v>
      </c>
      <c r="G1135" s="4">
        <v>16175</v>
      </c>
      <c r="H1135" s="4">
        <v>148304</v>
      </c>
      <c r="I1135" s="4"/>
      <c r="J1135" s="4"/>
      <c r="K1135" s="4"/>
      <c r="L1135" s="6">
        <f t="shared" si="17"/>
        <v>0.109066512029345</v>
      </c>
      <c r="M1135" s="4"/>
    </row>
    <row r="1136" spans="1:13">
      <c r="A1136" s="3">
        <v>45750</v>
      </c>
      <c r="B1136" s="4" t="s">
        <v>5</v>
      </c>
      <c r="C1136" s="4" t="s">
        <v>28</v>
      </c>
      <c r="D1136" s="4" t="s">
        <v>33</v>
      </c>
      <c r="E1136" s="4">
        <v>10</v>
      </c>
      <c r="F1136" s="4">
        <v>28908</v>
      </c>
      <c r="G1136" s="4">
        <v>289080</v>
      </c>
      <c r="H1136" s="4">
        <v>60418</v>
      </c>
      <c r="I1136" s="4"/>
      <c r="J1136" s="4"/>
      <c r="K1136" s="4"/>
      <c r="L1136" s="6">
        <f t="shared" si="17"/>
        <v>4.78466682114602</v>
      </c>
      <c r="M1136" s="4"/>
    </row>
    <row r="1137" spans="1:13">
      <c r="A1137" s="3">
        <v>45799</v>
      </c>
      <c r="B1137" s="4" t="s">
        <v>3</v>
      </c>
      <c r="C1137" s="4" t="s">
        <v>22</v>
      </c>
      <c r="D1137" s="4" t="s">
        <v>27</v>
      </c>
      <c r="E1137" s="4">
        <v>8</v>
      </c>
      <c r="F1137" s="4">
        <v>24123</v>
      </c>
      <c r="G1137" s="4">
        <v>192984</v>
      </c>
      <c r="H1137" s="4">
        <v>159662</v>
      </c>
      <c r="I1137" s="4"/>
      <c r="J1137" s="4"/>
      <c r="K1137" s="4"/>
      <c r="L1137" s="6">
        <f t="shared" si="17"/>
        <v>1.20870338590272</v>
      </c>
      <c r="M1137" s="4"/>
    </row>
    <row r="1138" spans="1:13">
      <c r="A1138" s="3">
        <v>45785</v>
      </c>
      <c r="B1138" s="4" t="s">
        <v>6</v>
      </c>
      <c r="C1138" s="4" t="s">
        <v>22</v>
      </c>
      <c r="D1138" s="4" t="s">
        <v>31</v>
      </c>
      <c r="E1138" s="4">
        <v>8</v>
      </c>
      <c r="F1138" s="4">
        <v>7886</v>
      </c>
      <c r="G1138" s="4">
        <v>63088</v>
      </c>
      <c r="H1138" s="4">
        <v>122338</v>
      </c>
      <c r="I1138" s="4"/>
      <c r="J1138" s="4"/>
      <c r="K1138" s="4"/>
      <c r="L1138" s="6">
        <f t="shared" si="17"/>
        <v>0.515686050123428</v>
      </c>
      <c r="M1138" s="4"/>
    </row>
    <row r="1139" spans="1:13">
      <c r="A1139" s="3">
        <v>45681</v>
      </c>
      <c r="B1139" s="4" t="s">
        <v>5</v>
      </c>
      <c r="C1139" s="4" t="s">
        <v>24</v>
      </c>
      <c r="D1139" s="4" t="s">
        <v>31</v>
      </c>
      <c r="E1139" s="4">
        <v>1</v>
      </c>
      <c r="F1139" s="4">
        <v>16212</v>
      </c>
      <c r="G1139" s="4">
        <v>16212</v>
      </c>
      <c r="H1139" s="4">
        <v>10115</v>
      </c>
      <c r="I1139" s="4"/>
      <c r="J1139" s="4"/>
      <c r="K1139" s="4"/>
      <c r="L1139" s="6">
        <f t="shared" si="17"/>
        <v>1.60276816608997</v>
      </c>
      <c r="M1139" s="4"/>
    </row>
    <row r="1140" spans="1:13">
      <c r="A1140" s="3">
        <v>45680</v>
      </c>
      <c r="B1140" s="4" t="s">
        <v>5</v>
      </c>
      <c r="C1140" s="4" t="s">
        <v>24</v>
      </c>
      <c r="D1140" s="4" t="s">
        <v>25</v>
      </c>
      <c r="E1140" s="4">
        <v>3</v>
      </c>
      <c r="F1140" s="4">
        <v>46940</v>
      </c>
      <c r="G1140" s="4">
        <v>140820</v>
      </c>
      <c r="H1140" s="4">
        <v>31681</v>
      </c>
      <c r="I1140" s="4"/>
      <c r="J1140" s="4"/>
      <c r="K1140" s="4"/>
      <c r="L1140" s="6">
        <f t="shared" si="17"/>
        <v>4.44493545026988</v>
      </c>
      <c r="M1140" s="4"/>
    </row>
    <row r="1141" spans="1:13">
      <c r="A1141" s="3">
        <v>45781</v>
      </c>
      <c r="B1141" s="4" t="s">
        <v>8</v>
      </c>
      <c r="C1141" s="4" t="s">
        <v>26</v>
      </c>
      <c r="D1141" s="4" t="s">
        <v>30</v>
      </c>
      <c r="E1141" s="4">
        <v>5</v>
      </c>
      <c r="F1141" s="4">
        <v>13747</v>
      </c>
      <c r="G1141" s="4">
        <v>68735</v>
      </c>
      <c r="H1141" s="4">
        <v>192146</v>
      </c>
      <c r="I1141" s="4"/>
      <c r="J1141" s="4"/>
      <c r="K1141" s="4"/>
      <c r="L1141" s="6">
        <f t="shared" si="17"/>
        <v>0.357722773307797</v>
      </c>
      <c r="M1141" s="4"/>
    </row>
    <row r="1142" spans="1:13">
      <c r="A1142" s="3">
        <v>45692</v>
      </c>
      <c r="B1142" s="4" t="s">
        <v>6</v>
      </c>
      <c r="C1142" s="4" t="s">
        <v>24</v>
      </c>
      <c r="D1142" s="4" t="s">
        <v>27</v>
      </c>
      <c r="E1142" s="4">
        <v>3</v>
      </c>
      <c r="F1142" s="4">
        <v>9594</v>
      </c>
      <c r="G1142" s="4">
        <v>28782</v>
      </c>
      <c r="H1142" s="4">
        <v>80935</v>
      </c>
      <c r="I1142" s="4"/>
      <c r="J1142" s="4"/>
      <c r="K1142" s="4"/>
      <c r="L1142" s="6">
        <f t="shared" si="17"/>
        <v>0.355618706369309</v>
      </c>
      <c r="M1142" s="4"/>
    </row>
    <row r="1143" spans="1:13">
      <c r="A1143" s="3">
        <v>45713</v>
      </c>
      <c r="B1143" s="4" t="s">
        <v>8</v>
      </c>
      <c r="C1143" s="4" t="s">
        <v>22</v>
      </c>
      <c r="D1143" s="4" t="s">
        <v>30</v>
      </c>
      <c r="E1143" s="4">
        <v>3</v>
      </c>
      <c r="F1143" s="4">
        <v>7872</v>
      </c>
      <c r="G1143" s="4">
        <v>23616</v>
      </c>
      <c r="H1143" s="4">
        <v>111647</v>
      </c>
      <c r="I1143" s="4"/>
      <c r="J1143" s="4"/>
      <c r="K1143" s="4"/>
      <c r="L1143" s="6">
        <f t="shared" si="17"/>
        <v>0.211523820613183</v>
      </c>
      <c r="M1143" s="4"/>
    </row>
    <row r="1144" spans="1:13">
      <c r="A1144" s="3">
        <v>45701</v>
      </c>
      <c r="B1144" s="4" t="s">
        <v>2</v>
      </c>
      <c r="C1144" s="4" t="s">
        <v>22</v>
      </c>
      <c r="D1144" s="4" t="s">
        <v>27</v>
      </c>
      <c r="E1144" s="4">
        <v>3</v>
      </c>
      <c r="F1144" s="4">
        <v>19074</v>
      </c>
      <c r="G1144" s="4">
        <v>57222</v>
      </c>
      <c r="H1144" s="4">
        <v>119857</v>
      </c>
      <c r="I1144" s="4"/>
      <c r="J1144" s="4"/>
      <c r="K1144" s="4"/>
      <c r="L1144" s="6">
        <f t="shared" si="17"/>
        <v>0.477418924218027</v>
      </c>
      <c r="M1144" s="4"/>
    </row>
    <row r="1145" spans="1:13">
      <c r="A1145" s="3">
        <v>45660</v>
      </c>
      <c r="B1145" s="4" t="s">
        <v>6</v>
      </c>
      <c r="C1145" s="4" t="s">
        <v>22</v>
      </c>
      <c r="D1145" s="4" t="s">
        <v>23</v>
      </c>
      <c r="E1145" s="4">
        <v>4</v>
      </c>
      <c r="F1145" s="4">
        <v>6974</v>
      </c>
      <c r="G1145" s="4">
        <v>27896</v>
      </c>
      <c r="H1145" s="4">
        <v>143120</v>
      </c>
      <c r="I1145" s="4"/>
      <c r="J1145" s="4"/>
      <c r="K1145" s="4"/>
      <c r="L1145" s="6">
        <f t="shared" si="17"/>
        <v>0.19491335941867</v>
      </c>
      <c r="M1145" s="4"/>
    </row>
    <row r="1146" spans="1:13">
      <c r="A1146" s="3">
        <v>45757</v>
      </c>
      <c r="B1146" s="4" t="s">
        <v>5</v>
      </c>
      <c r="C1146" s="4" t="s">
        <v>22</v>
      </c>
      <c r="D1146" s="4" t="s">
        <v>31</v>
      </c>
      <c r="E1146" s="4">
        <v>2</v>
      </c>
      <c r="F1146" s="4">
        <v>35378</v>
      </c>
      <c r="G1146" s="4">
        <v>70756</v>
      </c>
      <c r="H1146" s="4">
        <v>53697</v>
      </c>
      <c r="I1146" s="4"/>
      <c r="J1146" s="4"/>
      <c r="K1146" s="4"/>
      <c r="L1146" s="6">
        <f t="shared" si="17"/>
        <v>1.31769000130361</v>
      </c>
      <c r="M1146" s="4"/>
    </row>
    <row r="1147" spans="1:13">
      <c r="A1147" s="3">
        <v>45715</v>
      </c>
      <c r="B1147" s="4" t="s">
        <v>3</v>
      </c>
      <c r="C1147" s="4" t="s">
        <v>26</v>
      </c>
      <c r="D1147" s="4" t="s">
        <v>27</v>
      </c>
      <c r="E1147" s="4">
        <v>8</v>
      </c>
      <c r="F1147" s="4">
        <v>21960</v>
      </c>
      <c r="G1147" s="4">
        <v>175680</v>
      </c>
      <c r="H1147" s="4">
        <v>87737</v>
      </c>
      <c r="I1147" s="4"/>
      <c r="J1147" s="4"/>
      <c r="K1147" s="4"/>
      <c r="L1147" s="6">
        <f t="shared" si="17"/>
        <v>2.00234792618849</v>
      </c>
      <c r="M1147" s="4"/>
    </row>
    <row r="1148" spans="1:13">
      <c r="A1148" s="3">
        <v>45682</v>
      </c>
      <c r="B1148" s="4" t="s">
        <v>4</v>
      </c>
      <c r="C1148" s="4" t="s">
        <v>24</v>
      </c>
      <c r="D1148" s="4" t="s">
        <v>30</v>
      </c>
      <c r="E1148" s="4">
        <v>4</v>
      </c>
      <c r="F1148" s="4">
        <v>17174</v>
      </c>
      <c r="G1148" s="4">
        <v>68696</v>
      </c>
      <c r="H1148" s="4">
        <v>92923</v>
      </c>
      <c r="I1148" s="4"/>
      <c r="J1148" s="4"/>
      <c r="K1148" s="4"/>
      <c r="L1148" s="6">
        <f t="shared" si="17"/>
        <v>0.739278757681091</v>
      </c>
      <c r="M1148" s="4"/>
    </row>
    <row r="1149" spans="1:13">
      <c r="A1149" s="3">
        <v>45720</v>
      </c>
      <c r="B1149" s="4" t="s">
        <v>2</v>
      </c>
      <c r="C1149" s="4" t="s">
        <v>26</v>
      </c>
      <c r="D1149" s="4" t="s">
        <v>23</v>
      </c>
      <c r="E1149" s="4">
        <v>2</v>
      </c>
      <c r="F1149" s="4">
        <v>13325</v>
      </c>
      <c r="G1149" s="4">
        <v>26650</v>
      </c>
      <c r="H1149" s="4">
        <v>94162</v>
      </c>
      <c r="I1149" s="4"/>
      <c r="J1149" s="4"/>
      <c r="K1149" s="4"/>
      <c r="L1149" s="6">
        <f t="shared" si="17"/>
        <v>0.283022875469935</v>
      </c>
      <c r="M1149" s="4"/>
    </row>
    <row r="1150" spans="1:13">
      <c r="A1150" s="3">
        <v>45673</v>
      </c>
      <c r="B1150" s="4" t="s">
        <v>3</v>
      </c>
      <c r="C1150" s="4" t="s">
        <v>28</v>
      </c>
      <c r="D1150" s="4" t="s">
        <v>32</v>
      </c>
      <c r="E1150" s="4">
        <v>3</v>
      </c>
      <c r="F1150" s="4">
        <v>1735</v>
      </c>
      <c r="G1150" s="4">
        <v>5205</v>
      </c>
      <c r="H1150" s="4">
        <v>189030</v>
      </c>
      <c r="I1150" s="4"/>
      <c r="J1150" s="4"/>
      <c r="K1150" s="4"/>
      <c r="L1150" s="6">
        <f t="shared" si="17"/>
        <v>0.0275353118552611</v>
      </c>
      <c r="M1150" s="4"/>
    </row>
    <row r="1151" spans="1:13">
      <c r="A1151" s="3">
        <v>45710</v>
      </c>
      <c r="B1151" s="4" t="s">
        <v>6</v>
      </c>
      <c r="C1151" s="4" t="s">
        <v>22</v>
      </c>
      <c r="D1151" s="4" t="s">
        <v>29</v>
      </c>
      <c r="E1151" s="4">
        <v>8</v>
      </c>
      <c r="F1151" s="4">
        <v>6589</v>
      </c>
      <c r="G1151" s="4">
        <v>52712</v>
      </c>
      <c r="H1151" s="4">
        <v>157659</v>
      </c>
      <c r="I1151" s="4"/>
      <c r="J1151" s="4"/>
      <c r="K1151" s="4"/>
      <c r="L1151" s="6">
        <f t="shared" si="17"/>
        <v>0.334341839032342</v>
      </c>
      <c r="M1151" s="4"/>
    </row>
    <row r="1152" spans="1:13">
      <c r="A1152" s="3">
        <v>45814</v>
      </c>
      <c r="B1152" s="4" t="s">
        <v>2</v>
      </c>
      <c r="C1152" s="4" t="s">
        <v>24</v>
      </c>
      <c r="D1152" s="4" t="s">
        <v>23</v>
      </c>
      <c r="E1152" s="4">
        <v>2</v>
      </c>
      <c r="F1152" s="4">
        <v>38893</v>
      </c>
      <c r="G1152" s="4">
        <v>77786</v>
      </c>
      <c r="H1152" s="4">
        <v>67770</v>
      </c>
      <c r="I1152" s="4"/>
      <c r="J1152" s="4"/>
      <c r="K1152" s="4"/>
      <c r="L1152" s="6">
        <f t="shared" si="17"/>
        <v>1.14779400914859</v>
      </c>
      <c r="M1152" s="4"/>
    </row>
    <row r="1153" spans="1:13">
      <c r="A1153" s="3">
        <v>45670</v>
      </c>
      <c r="B1153" s="4" t="s">
        <v>2</v>
      </c>
      <c r="C1153" s="4" t="s">
        <v>24</v>
      </c>
      <c r="D1153" s="4" t="s">
        <v>31</v>
      </c>
      <c r="E1153" s="4">
        <v>10</v>
      </c>
      <c r="F1153" s="4">
        <v>49122</v>
      </c>
      <c r="G1153" s="4">
        <v>491220</v>
      </c>
      <c r="H1153" s="4">
        <v>24723</v>
      </c>
      <c r="I1153" s="4"/>
      <c r="J1153" s="4"/>
      <c r="K1153" s="4"/>
      <c r="L1153" s="6">
        <f t="shared" si="17"/>
        <v>19.8689479432108</v>
      </c>
      <c r="M1153" s="4"/>
    </row>
    <row r="1154" spans="1:13">
      <c r="A1154" s="3">
        <v>45675</v>
      </c>
      <c r="B1154" s="4" t="s">
        <v>4</v>
      </c>
      <c r="C1154" s="4" t="s">
        <v>24</v>
      </c>
      <c r="D1154" s="4" t="s">
        <v>27</v>
      </c>
      <c r="E1154" s="4">
        <v>3</v>
      </c>
      <c r="F1154" s="4">
        <v>5221</v>
      </c>
      <c r="G1154" s="4">
        <v>15663</v>
      </c>
      <c r="H1154" s="4">
        <v>68010</v>
      </c>
      <c r="I1154" s="4"/>
      <c r="J1154" s="4"/>
      <c r="K1154" s="4"/>
      <c r="L1154" s="6">
        <f t="shared" si="17"/>
        <v>0.230304367004852</v>
      </c>
      <c r="M1154" s="4"/>
    </row>
    <row r="1155" spans="1:13">
      <c r="A1155" s="3">
        <v>45792</v>
      </c>
      <c r="B1155" s="4" t="s">
        <v>8</v>
      </c>
      <c r="C1155" s="4" t="s">
        <v>26</v>
      </c>
      <c r="D1155" s="4" t="s">
        <v>29</v>
      </c>
      <c r="E1155" s="4">
        <v>2</v>
      </c>
      <c r="F1155" s="4">
        <v>47697</v>
      </c>
      <c r="G1155" s="4">
        <v>95394</v>
      </c>
      <c r="H1155" s="4">
        <v>177752</v>
      </c>
      <c r="I1155" s="4"/>
      <c r="J1155" s="4"/>
      <c r="K1155" s="4"/>
      <c r="L1155" s="6">
        <f t="shared" ref="L1155:L1218" si="18">G1155/H1155</f>
        <v>0.536669067014717</v>
      </c>
      <c r="M1155" s="4"/>
    </row>
    <row r="1156" spans="1:13">
      <c r="A1156" s="3">
        <v>45799</v>
      </c>
      <c r="B1156" s="4" t="s">
        <v>4</v>
      </c>
      <c r="C1156" s="4" t="s">
        <v>24</v>
      </c>
      <c r="D1156" s="4" t="s">
        <v>29</v>
      </c>
      <c r="E1156" s="4">
        <v>4</v>
      </c>
      <c r="F1156" s="4">
        <v>35307</v>
      </c>
      <c r="G1156" s="4">
        <v>141228</v>
      </c>
      <c r="H1156" s="4">
        <v>104273</v>
      </c>
      <c r="I1156" s="4"/>
      <c r="J1156" s="4"/>
      <c r="K1156" s="4"/>
      <c r="L1156" s="6">
        <f t="shared" si="18"/>
        <v>1.35440622212845</v>
      </c>
      <c r="M1156" s="4"/>
    </row>
    <row r="1157" spans="1:13">
      <c r="A1157" s="3">
        <v>45697</v>
      </c>
      <c r="B1157" s="4" t="s">
        <v>8</v>
      </c>
      <c r="C1157" s="4" t="s">
        <v>22</v>
      </c>
      <c r="D1157" s="4" t="s">
        <v>31</v>
      </c>
      <c r="E1157" s="4">
        <v>2</v>
      </c>
      <c r="F1157" s="4">
        <v>18793</v>
      </c>
      <c r="G1157" s="4">
        <v>37586</v>
      </c>
      <c r="H1157" s="4">
        <v>47236</v>
      </c>
      <c r="I1157" s="4"/>
      <c r="J1157" s="4"/>
      <c r="K1157" s="4"/>
      <c r="L1157" s="6">
        <f t="shared" si="18"/>
        <v>0.795706664408502</v>
      </c>
      <c r="M1157" s="4"/>
    </row>
    <row r="1158" spans="1:13">
      <c r="A1158" s="3">
        <v>45820</v>
      </c>
      <c r="B1158" s="4" t="s">
        <v>6</v>
      </c>
      <c r="C1158" s="4" t="s">
        <v>26</v>
      </c>
      <c r="D1158" s="4" t="s">
        <v>27</v>
      </c>
      <c r="E1158" s="4">
        <v>7</v>
      </c>
      <c r="F1158" s="4">
        <v>18740</v>
      </c>
      <c r="G1158" s="4">
        <v>131180</v>
      </c>
      <c r="H1158" s="4">
        <v>70965</v>
      </c>
      <c r="I1158" s="4"/>
      <c r="J1158" s="4"/>
      <c r="K1158" s="4"/>
      <c r="L1158" s="6">
        <f t="shared" si="18"/>
        <v>1.84851687451561</v>
      </c>
      <c r="M1158" s="4"/>
    </row>
    <row r="1159" spans="1:13">
      <c r="A1159" s="3">
        <v>45676</v>
      </c>
      <c r="B1159" s="4" t="s">
        <v>2</v>
      </c>
      <c r="C1159" s="4" t="s">
        <v>22</v>
      </c>
      <c r="D1159" s="4" t="s">
        <v>25</v>
      </c>
      <c r="E1159" s="4">
        <v>4</v>
      </c>
      <c r="F1159" s="4">
        <v>43806</v>
      </c>
      <c r="G1159" s="4">
        <v>175224</v>
      </c>
      <c r="H1159" s="4">
        <v>88838</v>
      </c>
      <c r="I1159" s="4"/>
      <c r="J1159" s="4"/>
      <c r="K1159" s="4"/>
      <c r="L1159" s="6">
        <f t="shared" si="18"/>
        <v>1.97239919854116</v>
      </c>
      <c r="M1159" s="4"/>
    </row>
    <row r="1160" spans="1:13">
      <c r="A1160" s="3">
        <v>45809</v>
      </c>
      <c r="B1160" s="4" t="s">
        <v>3</v>
      </c>
      <c r="C1160" s="4" t="s">
        <v>28</v>
      </c>
      <c r="D1160" s="4" t="s">
        <v>32</v>
      </c>
      <c r="E1160" s="4">
        <v>10</v>
      </c>
      <c r="F1160" s="4">
        <v>21661</v>
      </c>
      <c r="G1160" s="4">
        <v>216610</v>
      </c>
      <c r="H1160" s="4">
        <v>39949</v>
      </c>
      <c r="I1160" s="4"/>
      <c r="J1160" s="4"/>
      <c r="K1160" s="4"/>
      <c r="L1160" s="6">
        <f t="shared" si="18"/>
        <v>5.42216325815415</v>
      </c>
      <c r="M1160" s="4"/>
    </row>
    <row r="1161" spans="1:13">
      <c r="A1161" s="3">
        <v>45728</v>
      </c>
      <c r="B1161" s="4" t="s">
        <v>7</v>
      </c>
      <c r="C1161" s="4" t="s">
        <v>22</v>
      </c>
      <c r="D1161" s="4" t="s">
        <v>33</v>
      </c>
      <c r="E1161" s="4">
        <v>10</v>
      </c>
      <c r="F1161" s="4">
        <v>17140</v>
      </c>
      <c r="G1161" s="4">
        <v>171400</v>
      </c>
      <c r="H1161" s="4">
        <v>121626</v>
      </c>
      <c r="I1161" s="4"/>
      <c r="J1161" s="4"/>
      <c r="K1161" s="4"/>
      <c r="L1161" s="6">
        <f t="shared" si="18"/>
        <v>1.40923815631526</v>
      </c>
      <c r="M1161" s="4"/>
    </row>
    <row r="1162" spans="1:13">
      <c r="A1162" s="3">
        <v>45697</v>
      </c>
      <c r="B1162" s="4" t="s">
        <v>3</v>
      </c>
      <c r="C1162" s="4" t="s">
        <v>26</v>
      </c>
      <c r="D1162" s="4" t="s">
        <v>32</v>
      </c>
      <c r="E1162" s="4">
        <v>5</v>
      </c>
      <c r="F1162" s="4">
        <v>18208</v>
      </c>
      <c r="G1162" s="4">
        <v>91040</v>
      </c>
      <c r="H1162" s="4">
        <v>24078</v>
      </c>
      <c r="I1162" s="4"/>
      <c r="J1162" s="4"/>
      <c r="K1162" s="4"/>
      <c r="L1162" s="6">
        <f t="shared" si="18"/>
        <v>3.78104493728715</v>
      </c>
      <c r="M1162" s="4"/>
    </row>
    <row r="1163" spans="1:13">
      <c r="A1163" s="3">
        <v>45773</v>
      </c>
      <c r="B1163" s="4" t="s">
        <v>2</v>
      </c>
      <c r="C1163" s="4" t="s">
        <v>26</v>
      </c>
      <c r="D1163" s="4" t="s">
        <v>31</v>
      </c>
      <c r="E1163" s="4">
        <v>2</v>
      </c>
      <c r="F1163" s="4">
        <v>14551</v>
      </c>
      <c r="G1163" s="4">
        <v>29102</v>
      </c>
      <c r="H1163" s="4">
        <v>120311</v>
      </c>
      <c r="I1163" s="4"/>
      <c r="J1163" s="4"/>
      <c r="K1163" s="4"/>
      <c r="L1163" s="6">
        <f t="shared" si="18"/>
        <v>0.241889769015302</v>
      </c>
      <c r="M1163" s="4"/>
    </row>
    <row r="1164" spans="1:13">
      <c r="A1164" s="3">
        <v>45815</v>
      </c>
      <c r="B1164" s="4" t="s">
        <v>7</v>
      </c>
      <c r="C1164" s="4" t="s">
        <v>26</v>
      </c>
      <c r="D1164" s="4" t="s">
        <v>25</v>
      </c>
      <c r="E1164" s="4">
        <v>10</v>
      </c>
      <c r="F1164" s="4">
        <v>13072</v>
      </c>
      <c r="G1164" s="4">
        <v>130720</v>
      </c>
      <c r="H1164" s="4">
        <v>3487</v>
      </c>
      <c r="I1164" s="4"/>
      <c r="J1164" s="4"/>
      <c r="K1164" s="4"/>
      <c r="L1164" s="6">
        <f t="shared" si="18"/>
        <v>37.4878118726699</v>
      </c>
      <c r="M1164" s="4"/>
    </row>
    <row r="1165" spans="1:13">
      <c r="A1165" s="3">
        <v>45662</v>
      </c>
      <c r="B1165" s="4" t="s">
        <v>2</v>
      </c>
      <c r="C1165" s="4" t="s">
        <v>28</v>
      </c>
      <c r="D1165" s="4" t="s">
        <v>31</v>
      </c>
      <c r="E1165" s="4">
        <v>7</v>
      </c>
      <c r="F1165" s="4">
        <v>44388</v>
      </c>
      <c r="G1165" s="4">
        <v>310716</v>
      </c>
      <c r="H1165" s="4">
        <v>119644</v>
      </c>
      <c r="I1165" s="4"/>
      <c r="J1165" s="4"/>
      <c r="K1165" s="4"/>
      <c r="L1165" s="6">
        <f t="shared" si="18"/>
        <v>2.59700444652469</v>
      </c>
      <c r="M1165" s="4"/>
    </row>
    <row r="1166" spans="1:13">
      <c r="A1166" s="3">
        <v>45773</v>
      </c>
      <c r="B1166" s="4" t="s">
        <v>3</v>
      </c>
      <c r="C1166" s="4" t="s">
        <v>22</v>
      </c>
      <c r="D1166" s="4" t="s">
        <v>30</v>
      </c>
      <c r="E1166" s="4">
        <v>5</v>
      </c>
      <c r="F1166" s="4">
        <v>29121</v>
      </c>
      <c r="G1166" s="4">
        <v>145605</v>
      </c>
      <c r="H1166" s="4">
        <v>21019</v>
      </c>
      <c r="I1166" s="4"/>
      <c r="J1166" s="4"/>
      <c r="K1166" s="4"/>
      <c r="L1166" s="6">
        <f t="shared" si="18"/>
        <v>6.92730386792902</v>
      </c>
      <c r="M1166" s="4"/>
    </row>
    <row r="1167" spans="1:13">
      <c r="A1167" s="3">
        <v>45670</v>
      </c>
      <c r="B1167" s="4" t="s">
        <v>8</v>
      </c>
      <c r="C1167" s="4" t="s">
        <v>26</v>
      </c>
      <c r="D1167" s="4" t="s">
        <v>29</v>
      </c>
      <c r="E1167" s="4">
        <v>3</v>
      </c>
      <c r="F1167" s="4">
        <v>26938</v>
      </c>
      <c r="G1167" s="4">
        <v>80814</v>
      </c>
      <c r="H1167" s="4">
        <v>41831</v>
      </c>
      <c r="I1167" s="4"/>
      <c r="J1167" s="4"/>
      <c r="K1167" s="4"/>
      <c r="L1167" s="6">
        <f t="shared" si="18"/>
        <v>1.93191652124023</v>
      </c>
      <c r="M1167" s="4"/>
    </row>
    <row r="1168" spans="1:13">
      <c r="A1168" s="3">
        <v>45808</v>
      </c>
      <c r="B1168" s="4" t="s">
        <v>8</v>
      </c>
      <c r="C1168" s="4" t="s">
        <v>22</v>
      </c>
      <c r="D1168" s="4" t="s">
        <v>31</v>
      </c>
      <c r="E1168" s="4">
        <v>4</v>
      </c>
      <c r="F1168" s="4">
        <v>42748</v>
      </c>
      <c r="G1168" s="4">
        <v>170992</v>
      </c>
      <c r="H1168" s="4">
        <v>26238</v>
      </c>
      <c r="I1168" s="4"/>
      <c r="J1168" s="4"/>
      <c r="K1168" s="4"/>
      <c r="L1168" s="6">
        <f t="shared" si="18"/>
        <v>6.51696013415657</v>
      </c>
      <c r="M1168" s="4"/>
    </row>
    <row r="1169" spans="1:13">
      <c r="A1169" s="3">
        <v>45799</v>
      </c>
      <c r="B1169" s="4" t="s">
        <v>4</v>
      </c>
      <c r="C1169" s="4" t="s">
        <v>26</v>
      </c>
      <c r="D1169" s="4" t="s">
        <v>33</v>
      </c>
      <c r="E1169" s="4">
        <v>5</v>
      </c>
      <c r="F1169" s="4">
        <v>31333</v>
      </c>
      <c r="G1169" s="4">
        <v>156665</v>
      </c>
      <c r="H1169" s="4">
        <v>198021</v>
      </c>
      <c r="I1169" s="4"/>
      <c r="J1169" s="4"/>
      <c r="K1169" s="4"/>
      <c r="L1169" s="6">
        <f t="shared" si="18"/>
        <v>0.791153463521546</v>
      </c>
      <c r="M1169" s="4"/>
    </row>
    <row r="1170" spans="1:13">
      <c r="A1170" s="3">
        <v>45739</v>
      </c>
      <c r="B1170" s="4" t="s">
        <v>4</v>
      </c>
      <c r="C1170" s="4" t="s">
        <v>22</v>
      </c>
      <c r="D1170" s="4" t="s">
        <v>33</v>
      </c>
      <c r="E1170" s="4">
        <v>9</v>
      </c>
      <c r="F1170" s="4">
        <v>13703</v>
      </c>
      <c r="G1170" s="4">
        <v>123327</v>
      </c>
      <c r="H1170" s="4">
        <v>172194</v>
      </c>
      <c r="I1170" s="4"/>
      <c r="J1170" s="4"/>
      <c r="K1170" s="4"/>
      <c r="L1170" s="6">
        <f t="shared" si="18"/>
        <v>0.716209624028712</v>
      </c>
      <c r="M1170" s="4"/>
    </row>
    <row r="1171" spans="1:13">
      <c r="A1171" s="3">
        <v>45799</v>
      </c>
      <c r="B1171" s="4" t="s">
        <v>3</v>
      </c>
      <c r="C1171" s="4" t="s">
        <v>22</v>
      </c>
      <c r="D1171" s="4" t="s">
        <v>25</v>
      </c>
      <c r="E1171" s="4">
        <v>10</v>
      </c>
      <c r="F1171" s="4">
        <v>48071</v>
      </c>
      <c r="G1171" s="4">
        <v>480710</v>
      </c>
      <c r="H1171" s="4">
        <v>102797</v>
      </c>
      <c r="I1171" s="4"/>
      <c r="J1171" s="4"/>
      <c r="K1171" s="4"/>
      <c r="L1171" s="6">
        <f t="shared" si="18"/>
        <v>4.67630378318433</v>
      </c>
      <c r="M1171" s="4"/>
    </row>
    <row r="1172" spans="1:13">
      <c r="A1172" s="3">
        <v>45712</v>
      </c>
      <c r="B1172" s="4" t="s">
        <v>6</v>
      </c>
      <c r="C1172" s="4" t="s">
        <v>22</v>
      </c>
      <c r="D1172" s="4" t="s">
        <v>25</v>
      </c>
      <c r="E1172" s="4">
        <v>4</v>
      </c>
      <c r="F1172" s="4">
        <v>2115</v>
      </c>
      <c r="G1172" s="4">
        <v>8460</v>
      </c>
      <c r="H1172" s="4">
        <v>134942</v>
      </c>
      <c r="I1172" s="4"/>
      <c r="J1172" s="4"/>
      <c r="K1172" s="4"/>
      <c r="L1172" s="6">
        <f t="shared" si="18"/>
        <v>0.0626936016955433</v>
      </c>
      <c r="M1172" s="4"/>
    </row>
    <row r="1173" spans="1:13">
      <c r="A1173" s="3">
        <v>45785</v>
      </c>
      <c r="B1173" s="4" t="s">
        <v>6</v>
      </c>
      <c r="C1173" s="4" t="s">
        <v>24</v>
      </c>
      <c r="D1173" s="4" t="s">
        <v>32</v>
      </c>
      <c r="E1173" s="4">
        <v>5</v>
      </c>
      <c r="F1173" s="4">
        <v>42309</v>
      </c>
      <c r="G1173" s="4">
        <v>211545</v>
      </c>
      <c r="H1173" s="4">
        <v>63102</v>
      </c>
      <c r="I1173" s="4"/>
      <c r="J1173" s="4"/>
      <c r="K1173" s="4"/>
      <c r="L1173" s="6">
        <f t="shared" si="18"/>
        <v>3.35242940001902</v>
      </c>
      <c r="M1173" s="4"/>
    </row>
    <row r="1174" spans="1:13">
      <c r="A1174" s="3">
        <v>45680</v>
      </c>
      <c r="B1174" s="4" t="s">
        <v>7</v>
      </c>
      <c r="C1174" s="4" t="s">
        <v>26</v>
      </c>
      <c r="D1174" s="4" t="s">
        <v>25</v>
      </c>
      <c r="E1174" s="4">
        <v>4</v>
      </c>
      <c r="F1174" s="4">
        <v>33455</v>
      </c>
      <c r="G1174" s="4">
        <v>133820</v>
      </c>
      <c r="H1174" s="4">
        <v>148831</v>
      </c>
      <c r="I1174" s="4"/>
      <c r="J1174" s="4"/>
      <c r="K1174" s="4"/>
      <c r="L1174" s="6">
        <f t="shared" si="18"/>
        <v>0.899140636023409</v>
      </c>
      <c r="M1174" s="4"/>
    </row>
    <row r="1175" spans="1:13">
      <c r="A1175" s="3">
        <v>45832</v>
      </c>
      <c r="B1175" s="4" t="s">
        <v>4</v>
      </c>
      <c r="C1175" s="4" t="s">
        <v>22</v>
      </c>
      <c r="D1175" s="4" t="s">
        <v>23</v>
      </c>
      <c r="E1175" s="4">
        <v>4</v>
      </c>
      <c r="F1175" s="4">
        <v>10791</v>
      </c>
      <c r="G1175" s="4">
        <v>43164</v>
      </c>
      <c r="H1175" s="4">
        <v>164609</v>
      </c>
      <c r="I1175" s="4"/>
      <c r="J1175" s="4"/>
      <c r="K1175" s="4"/>
      <c r="L1175" s="6">
        <f t="shared" si="18"/>
        <v>0.26222138522195</v>
      </c>
      <c r="M1175" s="4"/>
    </row>
    <row r="1176" spans="1:13">
      <c r="A1176" s="3">
        <v>45673</v>
      </c>
      <c r="B1176" s="4" t="s">
        <v>2</v>
      </c>
      <c r="C1176" s="4" t="s">
        <v>28</v>
      </c>
      <c r="D1176" s="4" t="s">
        <v>30</v>
      </c>
      <c r="E1176" s="4">
        <v>1</v>
      </c>
      <c r="F1176" s="4">
        <v>5103</v>
      </c>
      <c r="G1176" s="4">
        <v>5103</v>
      </c>
      <c r="H1176" s="4">
        <v>119519</v>
      </c>
      <c r="I1176" s="4"/>
      <c r="J1176" s="4"/>
      <c r="K1176" s="4"/>
      <c r="L1176" s="6">
        <f t="shared" si="18"/>
        <v>0.0426961403626202</v>
      </c>
      <c r="M1176" s="4"/>
    </row>
    <row r="1177" spans="1:13">
      <c r="A1177" s="3">
        <v>45813</v>
      </c>
      <c r="B1177" s="4" t="s">
        <v>7</v>
      </c>
      <c r="C1177" s="4" t="s">
        <v>22</v>
      </c>
      <c r="D1177" s="4" t="s">
        <v>30</v>
      </c>
      <c r="E1177" s="4">
        <v>4</v>
      </c>
      <c r="F1177" s="4">
        <v>38312</v>
      </c>
      <c r="G1177" s="4">
        <v>153248</v>
      </c>
      <c r="H1177" s="4">
        <v>56412</v>
      </c>
      <c r="I1177" s="4"/>
      <c r="J1177" s="4"/>
      <c r="K1177" s="4"/>
      <c r="L1177" s="6">
        <f t="shared" si="18"/>
        <v>2.71658512373254</v>
      </c>
      <c r="M1177" s="4"/>
    </row>
    <row r="1178" spans="1:13">
      <c r="A1178" s="3">
        <v>45682</v>
      </c>
      <c r="B1178" s="4" t="s">
        <v>8</v>
      </c>
      <c r="C1178" s="4" t="s">
        <v>22</v>
      </c>
      <c r="D1178" s="4" t="s">
        <v>32</v>
      </c>
      <c r="E1178" s="4">
        <v>3</v>
      </c>
      <c r="F1178" s="4">
        <v>16392</v>
      </c>
      <c r="G1178" s="4">
        <v>49176</v>
      </c>
      <c r="H1178" s="4">
        <v>107074</v>
      </c>
      <c r="I1178" s="4"/>
      <c r="J1178" s="4"/>
      <c r="K1178" s="4"/>
      <c r="L1178" s="6">
        <f t="shared" si="18"/>
        <v>0.459271158264378</v>
      </c>
      <c r="M1178" s="4"/>
    </row>
    <row r="1179" spans="1:13">
      <c r="A1179" s="3">
        <v>45685</v>
      </c>
      <c r="B1179" s="4" t="s">
        <v>2</v>
      </c>
      <c r="C1179" s="4" t="s">
        <v>22</v>
      </c>
      <c r="D1179" s="4" t="s">
        <v>32</v>
      </c>
      <c r="E1179" s="4">
        <v>1</v>
      </c>
      <c r="F1179" s="4">
        <v>16265</v>
      </c>
      <c r="G1179" s="4">
        <v>16265</v>
      </c>
      <c r="H1179" s="4">
        <v>39645</v>
      </c>
      <c r="I1179" s="4"/>
      <c r="J1179" s="4"/>
      <c r="K1179" s="4"/>
      <c r="L1179" s="6">
        <f t="shared" si="18"/>
        <v>0.410266111741708</v>
      </c>
      <c r="M1179" s="4"/>
    </row>
    <row r="1180" spans="1:13">
      <c r="A1180" s="3">
        <v>45796</v>
      </c>
      <c r="B1180" s="4" t="s">
        <v>7</v>
      </c>
      <c r="C1180" s="4" t="s">
        <v>22</v>
      </c>
      <c r="D1180" s="4" t="s">
        <v>25</v>
      </c>
      <c r="E1180" s="4">
        <v>8</v>
      </c>
      <c r="F1180" s="4">
        <v>37404</v>
      </c>
      <c r="G1180" s="4">
        <v>299232</v>
      </c>
      <c r="H1180" s="4">
        <v>29028</v>
      </c>
      <c r="I1180" s="4"/>
      <c r="J1180" s="4"/>
      <c r="K1180" s="4"/>
      <c r="L1180" s="6">
        <f t="shared" si="18"/>
        <v>10.3083918974783</v>
      </c>
      <c r="M1180" s="4"/>
    </row>
    <row r="1181" spans="1:13">
      <c r="A1181" s="3">
        <v>45772</v>
      </c>
      <c r="B1181" s="4" t="s">
        <v>6</v>
      </c>
      <c r="C1181" s="4" t="s">
        <v>22</v>
      </c>
      <c r="D1181" s="4" t="s">
        <v>29</v>
      </c>
      <c r="E1181" s="4">
        <v>6</v>
      </c>
      <c r="F1181" s="4">
        <v>23336</v>
      </c>
      <c r="G1181" s="4">
        <v>140016</v>
      </c>
      <c r="H1181" s="4">
        <v>138849</v>
      </c>
      <c r="I1181" s="4"/>
      <c r="J1181" s="4"/>
      <c r="K1181" s="4"/>
      <c r="L1181" s="6">
        <f t="shared" si="18"/>
        <v>1.00840481386254</v>
      </c>
      <c r="M1181" s="4"/>
    </row>
    <row r="1182" spans="1:13">
      <c r="A1182" s="3">
        <v>45823</v>
      </c>
      <c r="B1182" s="4" t="s">
        <v>3</v>
      </c>
      <c r="C1182" s="4" t="s">
        <v>28</v>
      </c>
      <c r="D1182" s="4" t="s">
        <v>25</v>
      </c>
      <c r="E1182" s="4">
        <v>4</v>
      </c>
      <c r="F1182" s="4">
        <v>26490</v>
      </c>
      <c r="G1182" s="4">
        <v>105960</v>
      </c>
      <c r="H1182" s="4">
        <v>178033</v>
      </c>
      <c r="I1182" s="4"/>
      <c r="J1182" s="4"/>
      <c r="K1182" s="4"/>
      <c r="L1182" s="6">
        <f t="shared" si="18"/>
        <v>0.595170558267287</v>
      </c>
      <c r="M1182" s="4"/>
    </row>
    <row r="1183" spans="1:13">
      <c r="A1183" s="3">
        <v>45763</v>
      </c>
      <c r="B1183" s="4" t="s">
        <v>6</v>
      </c>
      <c r="C1183" s="4" t="s">
        <v>22</v>
      </c>
      <c r="D1183" s="4" t="s">
        <v>29</v>
      </c>
      <c r="E1183" s="4">
        <v>6</v>
      </c>
      <c r="F1183" s="4">
        <v>721</v>
      </c>
      <c r="G1183" s="4">
        <v>4326</v>
      </c>
      <c r="H1183" s="4">
        <v>12116</v>
      </c>
      <c r="I1183" s="4"/>
      <c r="J1183" s="4"/>
      <c r="K1183" s="4"/>
      <c r="L1183" s="6">
        <f t="shared" si="18"/>
        <v>0.357048530868273</v>
      </c>
      <c r="M1183" s="4"/>
    </row>
    <row r="1184" spans="1:13">
      <c r="A1184" s="3">
        <v>45838</v>
      </c>
      <c r="B1184" s="4" t="s">
        <v>3</v>
      </c>
      <c r="C1184" s="4" t="s">
        <v>24</v>
      </c>
      <c r="D1184" s="4" t="s">
        <v>31</v>
      </c>
      <c r="E1184" s="4">
        <v>2</v>
      </c>
      <c r="F1184" s="4">
        <v>48249</v>
      </c>
      <c r="G1184" s="4">
        <v>96498</v>
      </c>
      <c r="H1184" s="4">
        <v>198327</v>
      </c>
      <c r="I1184" s="4"/>
      <c r="J1184" s="4"/>
      <c r="K1184" s="4"/>
      <c r="L1184" s="6">
        <f t="shared" si="18"/>
        <v>0.486560075027606</v>
      </c>
      <c r="M1184" s="4"/>
    </row>
    <row r="1185" spans="1:13">
      <c r="A1185" s="3">
        <v>45795</v>
      </c>
      <c r="B1185" s="4" t="s">
        <v>8</v>
      </c>
      <c r="C1185" s="4" t="s">
        <v>26</v>
      </c>
      <c r="D1185" s="4" t="s">
        <v>33</v>
      </c>
      <c r="E1185" s="4">
        <v>10</v>
      </c>
      <c r="F1185" s="4">
        <v>15730</v>
      </c>
      <c r="G1185" s="4">
        <v>157300</v>
      </c>
      <c r="H1185" s="4">
        <v>88661</v>
      </c>
      <c r="I1185" s="4"/>
      <c r="J1185" s="4"/>
      <c r="K1185" s="4"/>
      <c r="L1185" s="6">
        <f t="shared" si="18"/>
        <v>1.77417353740653</v>
      </c>
      <c r="M1185" s="4"/>
    </row>
    <row r="1186" spans="1:13">
      <c r="A1186" s="3">
        <v>45688</v>
      </c>
      <c r="B1186" s="4" t="s">
        <v>6</v>
      </c>
      <c r="C1186" s="4" t="s">
        <v>24</v>
      </c>
      <c r="D1186" s="4" t="s">
        <v>31</v>
      </c>
      <c r="E1186" s="4">
        <v>5</v>
      </c>
      <c r="F1186" s="4">
        <v>16838</v>
      </c>
      <c r="G1186" s="4">
        <v>84190</v>
      </c>
      <c r="H1186" s="4">
        <v>186760</v>
      </c>
      <c r="I1186" s="4"/>
      <c r="J1186" s="4"/>
      <c r="K1186" s="4"/>
      <c r="L1186" s="6">
        <f t="shared" si="18"/>
        <v>0.450792460912401</v>
      </c>
      <c r="M1186" s="4"/>
    </row>
    <row r="1187" spans="1:13">
      <c r="A1187" s="3">
        <v>45763</v>
      </c>
      <c r="B1187" s="4" t="s">
        <v>3</v>
      </c>
      <c r="C1187" s="4" t="s">
        <v>26</v>
      </c>
      <c r="D1187" s="4" t="s">
        <v>33</v>
      </c>
      <c r="E1187" s="4">
        <v>10</v>
      </c>
      <c r="F1187" s="4">
        <v>44345</v>
      </c>
      <c r="G1187" s="4">
        <v>443450</v>
      </c>
      <c r="H1187" s="4">
        <v>71325</v>
      </c>
      <c r="I1187" s="4"/>
      <c r="J1187" s="4"/>
      <c r="K1187" s="4"/>
      <c r="L1187" s="6">
        <f t="shared" si="18"/>
        <v>6.21731510690501</v>
      </c>
      <c r="M1187" s="4"/>
    </row>
    <row r="1188" spans="1:13">
      <c r="A1188" s="3">
        <v>45709</v>
      </c>
      <c r="B1188" s="4" t="s">
        <v>5</v>
      </c>
      <c r="C1188" s="4" t="s">
        <v>22</v>
      </c>
      <c r="D1188" s="4" t="s">
        <v>31</v>
      </c>
      <c r="E1188" s="4">
        <v>2</v>
      </c>
      <c r="F1188" s="4">
        <v>21878</v>
      </c>
      <c r="G1188" s="4">
        <v>43756</v>
      </c>
      <c r="H1188" s="4">
        <v>116553</v>
      </c>
      <c r="I1188" s="4"/>
      <c r="J1188" s="4"/>
      <c r="K1188" s="4"/>
      <c r="L1188" s="6">
        <f t="shared" si="18"/>
        <v>0.375417192178665</v>
      </c>
      <c r="M1188" s="4"/>
    </row>
    <row r="1189" spans="1:13">
      <c r="A1189" s="3">
        <v>45704</v>
      </c>
      <c r="B1189" s="4" t="s">
        <v>3</v>
      </c>
      <c r="C1189" s="4" t="s">
        <v>28</v>
      </c>
      <c r="D1189" s="4" t="s">
        <v>23</v>
      </c>
      <c r="E1189" s="4">
        <v>2</v>
      </c>
      <c r="F1189" s="4">
        <v>21029</v>
      </c>
      <c r="G1189" s="4">
        <v>42058</v>
      </c>
      <c r="H1189" s="4">
        <v>41558</v>
      </c>
      <c r="I1189" s="4"/>
      <c r="J1189" s="4"/>
      <c r="K1189" s="4"/>
      <c r="L1189" s="6">
        <f t="shared" si="18"/>
        <v>1.01203137783339</v>
      </c>
      <c r="M1189" s="4"/>
    </row>
    <row r="1190" spans="1:13">
      <c r="A1190" s="3">
        <v>45681</v>
      </c>
      <c r="B1190" s="4" t="s">
        <v>7</v>
      </c>
      <c r="C1190" s="4" t="s">
        <v>28</v>
      </c>
      <c r="D1190" s="4" t="s">
        <v>33</v>
      </c>
      <c r="E1190" s="4">
        <v>6</v>
      </c>
      <c r="F1190" s="4">
        <v>8482</v>
      </c>
      <c r="G1190" s="4">
        <v>50892</v>
      </c>
      <c r="H1190" s="4">
        <v>179836</v>
      </c>
      <c r="I1190" s="4"/>
      <c r="J1190" s="4"/>
      <c r="K1190" s="4"/>
      <c r="L1190" s="6">
        <f t="shared" si="18"/>
        <v>0.282991169732423</v>
      </c>
      <c r="M1190" s="4"/>
    </row>
    <row r="1191" spans="1:13">
      <c r="A1191" s="3">
        <v>45750</v>
      </c>
      <c r="B1191" s="4" t="s">
        <v>5</v>
      </c>
      <c r="C1191" s="4" t="s">
        <v>24</v>
      </c>
      <c r="D1191" s="4" t="s">
        <v>29</v>
      </c>
      <c r="E1191" s="4">
        <v>4</v>
      </c>
      <c r="F1191" s="4">
        <v>12940</v>
      </c>
      <c r="G1191" s="4">
        <v>51760</v>
      </c>
      <c r="H1191" s="4">
        <v>181079</v>
      </c>
      <c r="I1191" s="4"/>
      <c r="J1191" s="4"/>
      <c r="K1191" s="4"/>
      <c r="L1191" s="6">
        <f t="shared" si="18"/>
        <v>0.285842091021046</v>
      </c>
      <c r="M1191" s="4"/>
    </row>
    <row r="1192" spans="1:13">
      <c r="A1192" s="3">
        <v>45766</v>
      </c>
      <c r="B1192" s="4" t="s">
        <v>7</v>
      </c>
      <c r="C1192" s="4" t="s">
        <v>28</v>
      </c>
      <c r="D1192" s="4" t="s">
        <v>33</v>
      </c>
      <c r="E1192" s="4">
        <v>4</v>
      </c>
      <c r="F1192" s="4">
        <v>26467</v>
      </c>
      <c r="G1192" s="4">
        <v>105868</v>
      </c>
      <c r="H1192" s="4">
        <v>99311</v>
      </c>
      <c r="I1192" s="4"/>
      <c r="J1192" s="4"/>
      <c r="K1192" s="4"/>
      <c r="L1192" s="6">
        <f t="shared" si="18"/>
        <v>1.06602491164121</v>
      </c>
      <c r="M1192" s="4"/>
    </row>
    <row r="1193" spans="1:13">
      <c r="A1193" s="3">
        <v>45816</v>
      </c>
      <c r="B1193" s="4" t="s">
        <v>2</v>
      </c>
      <c r="C1193" s="4" t="s">
        <v>22</v>
      </c>
      <c r="D1193" s="4" t="s">
        <v>23</v>
      </c>
      <c r="E1193" s="4">
        <v>5</v>
      </c>
      <c r="F1193" s="4">
        <v>37690</v>
      </c>
      <c r="G1193" s="4">
        <v>188450</v>
      </c>
      <c r="H1193" s="4">
        <v>171414</v>
      </c>
      <c r="I1193" s="4"/>
      <c r="J1193" s="4"/>
      <c r="K1193" s="4"/>
      <c r="L1193" s="6">
        <f t="shared" si="18"/>
        <v>1.09938511440139</v>
      </c>
      <c r="M1193" s="4"/>
    </row>
    <row r="1194" spans="1:13">
      <c r="A1194" s="3">
        <v>45805</v>
      </c>
      <c r="B1194" s="4" t="s">
        <v>5</v>
      </c>
      <c r="C1194" s="4" t="s">
        <v>28</v>
      </c>
      <c r="D1194" s="4" t="s">
        <v>31</v>
      </c>
      <c r="E1194" s="4">
        <v>5</v>
      </c>
      <c r="F1194" s="4">
        <v>10088</v>
      </c>
      <c r="G1194" s="4">
        <v>50440</v>
      </c>
      <c r="H1194" s="4">
        <v>197984</v>
      </c>
      <c r="I1194" s="4"/>
      <c r="J1194" s="4"/>
      <c r="K1194" s="4"/>
      <c r="L1194" s="6">
        <f t="shared" si="18"/>
        <v>0.254768062065621</v>
      </c>
      <c r="M1194" s="4"/>
    </row>
    <row r="1195" spans="1:13">
      <c r="A1195" s="3">
        <v>45756</v>
      </c>
      <c r="B1195" s="4" t="s">
        <v>2</v>
      </c>
      <c r="C1195" s="4" t="s">
        <v>24</v>
      </c>
      <c r="D1195" s="4" t="s">
        <v>23</v>
      </c>
      <c r="E1195" s="4">
        <v>1</v>
      </c>
      <c r="F1195" s="4">
        <v>44434</v>
      </c>
      <c r="G1195" s="4">
        <v>44434</v>
      </c>
      <c r="H1195" s="4">
        <v>68408</v>
      </c>
      <c r="I1195" s="4"/>
      <c r="J1195" s="4"/>
      <c r="K1195" s="4"/>
      <c r="L1195" s="6">
        <f t="shared" si="18"/>
        <v>0.649543912992632</v>
      </c>
      <c r="M1195" s="4"/>
    </row>
    <row r="1196" spans="1:13">
      <c r="A1196" s="3">
        <v>45748</v>
      </c>
      <c r="B1196" s="4" t="s">
        <v>3</v>
      </c>
      <c r="C1196" s="4" t="s">
        <v>26</v>
      </c>
      <c r="D1196" s="4" t="s">
        <v>23</v>
      </c>
      <c r="E1196" s="4">
        <v>9</v>
      </c>
      <c r="F1196" s="4">
        <v>22184</v>
      </c>
      <c r="G1196" s="4">
        <v>199656</v>
      </c>
      <c r="H1196" s="4">
        <v>28133</v>
      </c>
      <c r="I1196" s="4"/>
      <c r="J1196" s="4"/>
      <c r="K1196" s="4"/>
      <c r="L1196" s="6">
        <f t="shared" si="18"/>
        <v>7.09686133721963</v>
      </c>
      <c r="M1196" s="4"/>
    </row>
    <row r="1197" spans="1:13">
      <c r="A1197" s="3">
        <v>45745</v>
      </c>
      <c r="B1197" s="4" t="s">
        <v>7</v>
      </c>
      <c r="C1197" s="4" t="s">
        <v>22</v>
      </c>
      <c r="D1197" s="4" t="s">
        <v>32</v>
      </c>
      <c r="E1197" s="4">
        <v>4</v>
      </c>
      <c r="F1197" s="4">
        <v>15250</v>
      </c>
      <c r="G1197" s="4">
        <v>61000</v>
      </c>
      <c r="H1197" s="4">
        <v>120211</v>
      </c>
      <c r="I1197" s="4"/>
      <c r="J1197" s="4"/>
      <c r="K1197" s="4"/>
      <c r="L1197" s="6">
        <f t="shared" si="18"/>
        <v>0.507441082762809</v>
      </c>
      <c r="M1197" s="4"/>
    </row>
    <row r="1198" spans="1:13">
      <c r="A1198" s="3">
        <v>45807</v>
      </c>
      <c r="B1198" s="4" t="s">
        <v>7</v>
      </c>
      <c r="C1198" s="4" t="s">
        <v>24</v>
      </c>
      <c r="D1198" s="4" t="s">
        <v>23</v>
      </c>
      <c r="E1198" s="4">
        <v>2</v>
      </c>
      <c r="F1198" s="4">
        <v>26256</v>
      </c>
      <c r="G1198" s="4">
        <v>52512</v>
      </c>
      <c r="H1198" s="4">
        <v>83828</v>
      </c>
      <c r="I1198" s="4"/>
      <c r="J1198" s="4"/>
      <c r="K1198" s="4"/>
      <c r="L1198" s="6">
        <f t="shared" si="18"/>
        <v>0.626425538006394</v>
      </c>
      <c r="M1198" s="4"/>
    </row>
    <row r="1199" spans="1:13">
      <c r="A1199" s="3">
        <v>45797</v>
      </c>
      <c r="B1199" s="4" t="s">
        <v>7</v>
      </c>
      <c r="C1199" s="4" t="s">
        <v>22</v>
      </c>
      <c r="D1199" s="4" t="s">
        <v>23</v>
      </c>
      <c r="E1199" s="4">
        <v>3</v>
      </c>
      <c r="F1199" s="4">
        <v>23705</v>
      </c>
      <c r="G1199" s="4">
        <v>71115</v>
      </c>
      <c r="H1199" s="4">
        <v>83972</v>
      </c>
      <c r="I1199" s="4"/>
      <c r="J1199" s="4"/>
      <c r="K1199" s="4"/>
      <c r="L1199" s="6">
        <f t="shared" si="18"/>
        <v>0.846889439336922</v>
      </c>
      <c r="M1199" s="4"/>
    </row>
    <row r="1200" spans="1:13">
      <c r="A1200" s="3">
        <v>45778</v>
      </c>
      <c r="B1200" s="4" t="s">
        <v>2</v>
      </c>
      <c r="C1200" s="4" t="s">
        <v>22</v>
      </c>
      <c r="D1200" s="4" t="s">
        <v>25</v>
      </c>
      <c r="E1200" s="4">
        <v>1</v>
      </c>
      <c r="F1200" s="4">
        <v>10096</v>
      </c>
      <c r="G1200" s="4">
        <v>10096</v>
      </c>
      <c r="H1200" s="4">
        <v>143497</v>
      </c>
      <c r="I1200" s="4"/>
      <c r="J1200" s="4"/>
      <c r="K1200" s="4"/>
      <c r="L1200" s="6">
        <f t="shared" si="18"/>
        <v>0.070356871572228</v>
      </c>
      <c r="M1200" s="4"/>
    </row>
    <row r="1201" spans="1:13">
      <c r="A1201" s="3">
        <v>45694</v>
      </c>
      <c r="B1201" s="4" t="s">
        <v>8</v>
      </c>
      <c r="C1201" s="4" t="s">
        <v>22</v>
      </c>
      <c r="D1201" s="4" t="s">
        <v>23</v>
      </c>
      <c r="E1201" s="4">
        <v>10</v>
      </c>
      <c r="F1201" s="4">
        <v>46433</v>
      </c>
      <c r="G1201" s="4">
        <v>464330</v>
      </c>
      <c r="H1201" s="4">
        <v>61501</v>
      </c>
      <c r="I1201" s="4"/>
      <c r="J1201" s="4"/>
      <c r="K1201" s="4"/>
      <c r="L1201" s="6">
        <f t="shared" si="18"/>
        <v>7.54995853725956</v>
      </c>
      <c r="M1201" s="4"/>
    </row>
    <row r="1202" spans="1:13">
      <c r="A1202" s="3">
        <v>45743</v>
      </c>
      <c r="B1202" s="4" t="s">
        <v>6</v>
      </c>
      <c r="C1202" s="4" t="s">
        <v>24</v>
      </c>
      <c r="D1202" s="4" t="s">
        <v>30</v>
      </c>
      <c r="E1202" s="4">
        <v>4</v>
      </c>
      <c r="F1202" s="4">
        <v>22429</v>
      </c>
      <c r="G1202" s="4">
        <v>89716</v>
      </c>
      <c r="H1202" s="4">
        <v>75028</v>
      </c>
      <c r="I1202" s="4"/>
      <c r="J1202" s="4"/>
      <c r="K1202" s="4"/>
      <c r="L1202" s="6">
        <f t="shared" si="18"/>
        <v>1.19576691368556</v>
      </c>
      <c r="M1202" s="4"/>
    </row>
    <row r="1203" spans="1:13">
      <c r="A1203" s="3">
        <v>45718</v>
      </c>
      <c r="B1203" s="4" t="s">
        <v>4</v>
      </c>
      <c r="C1203" s="4" t="s">
        <v>26</v>
      </c>
      <c r="D1203" s="4" t="s">
        <v>29</v>
      </c>
      <c r="E1203" s="4">
        <v>7</v>
      </c>
      <c r="F1203" s="4">
        <v>28563</v>
      </c>
      <c r="G1203" s="4">
        <v>199941</v>
      </c>
      <c r="H1203" s="4">
        <v>6936</v>
      </c>
      <c r="I1203" s="4"/>
      <c r="J1203" s="4"/>
      <c r="K1203" s="4"/>
      <c r="L1203" s="6">
        <f t="shared" si="18"/>
        <v>28.8265570934256</v>
      </c>
      <c r="M1203" s="4"/>
    </row>
    <row r="1204" spans="1:13">
      <c r="A1204" s="3">
        <v>45729</v>
      </c>
      <c r="B1204" s="4" t="s">
        <v>2</v>
      </c>
      <c r="C1204" s="4" t="s">
        <v>26</v>
      </c>
      <c r="D1204" s="4" t="s">
        <v>31</v>
      </c>
      <c r="E1204" s="4">
        <v>4</v>
      </c>
      <c r="F1204" s="4">
        <v>9286</v>
      </c>
      <c r="G1204" s="4">
        <v>37144</v>
      </c>
      <c r="H1204" s="4">
        <v>40407</v>
      </c>
      <c r="I1204" s="4"/>
      <c r="J1204" s="4"/>
      <c r="K1204" s="4"/>
      <c r="L1204" s="6">
        <f t="shared" si="18"/>
        <v>0.919246665181775</v>
      </c>
      <c r="M1204" s="4"/>
    </row>
    <row r="1205" spans="1:13">
      <c r="A1205" s="3">
        <v>45800</v>
      </c>
      <c r="B1205" s="4" t="s">
        <v>4</v>
      </c>
      <c r="C1205" s="4" t="s">
        <v>28</v>
      </c>
      <c r="D1205" s="4" t="s">
        <v>30</v>
      </c>
      <c r="E1205" s="4">
        <v>2</v>
      </c>
      <c r="F1205" s="4">
        <v>20716</v>
      </c>
      <c r="G1205" s="4">
        <v>41432</v>
      </c>
      <c r="H1205" s="4">
        <v>104899</v>
      </c>
      <c r="I1205" s="4"/>
      <c r="J1205" s="4"/>
      <c r="K1205" s="4"/>
      <c r="L1205" s="6">
        <f t="shared" si="18"/>
        <v>0.394970400099143</v>
      </c>
      <c r="M1205" s="4"/>
    </row>
    <row r="1206" spans="1:13">
      <c r="A1206" s="3">
        <v>45797</v>
      </c>
      <c r="B1206" s="4" t="s">
        <v>5</v>
      </c>
      <c r="C1206" s="4" t="s">
        <v>28</v>
      </c>
      <c r="D1206" s="4" t="s">
        <v>32</v>
      </c>
      <c r="E1206" s="4">
        <v>8</v>
      </c>
      <c r="F1206" s="4">
        <v>4541</v>
      </c>
      <c r="G1206" s="4">
        <v>36328</v>
      </c>
      <c r="H1206" s="4">
        <v>130253</v>
      </c>
      <c r="I1206" s="4"/>
      <c r="J1206" s="4"/>
      <c r="K1206" s="4"/>
      <c r="L1206" s="6">
        <f t="shared" si="18"/>
        <v>0.278903364989674</v>
      </c>
      <c r="M1206" s="4"/>
    </row>
    <row r="1207" spans="1:13">
      <c r="A1207" s="3">
        <v>45751</v>
      </c>
      <c r="B1207" s="4" t="s">
        <v>7</v>
      </c>
      <c r="C1207" s="4" t="s">
        <v>28</v>
      </c>
      <c r="D1207" s="4" t="s">
        <v>29</v>
      </c>
      <c r="E1207" s="4">
        <v>6</v>
      </c>
      <c r="F1207" s="4">
        <v>40533</v>
      </c>
      <c r="G1207" s="4">
        <v>243198</v>
      </c>
      <c r="H1207" s="4">
        <v>87249</v>
      </c>
      <c r="I1207" s="4"/>
      <c r="J1207" s="4"/>
      <c r="K1207" s="4"/>
      <c r="L1207" s="6">
        <f t="shared" si="18"/>
        <v>2.78740157480315</v>
      </c>
      <c r="M1207" s="4"/>
    </row>
    <row r="1208" spans="1:13">
      <c r="A1208" s="3">
        <v>45768</v>
      </c>
      <c r="B1208" s="4" t="s">
        <v>6</v>
      </c>
      <c r="C1208" s="4" t="s">
        <v>22</v>
      </c>
      <c r="D1208" s="4" t="s">
        <v>30</v>
      </c>
      <c r="E1208" s="4">
        <v>10</v>
      </c>
      <c r="F1208" s="4">
        <v>24648</v>
      </c>
      <c r="G1208" s="4">
        <v>246480</v>
      </c>
      <c r="H1208" s="4">
        <v>79702</v>
      </c>
      <c r="I1208" s="4"/>
      <c r="J1208" s="4"/>
      <c r="K1208" s="4"/>
      <c r="L1208" s="6">
        <f t="shared" si="18"/>
        <v>3.09251963564277</v>
      </c>
      <c r="M1208" s="4"/>
    </row>
    <row r="1209" spans="1:13">
      <c r="A1209" s="3">
        <v>45702</v>
      </c>
      <c r="B1209" s="4" t="s">
        <v>4</v>
      </c>
      <c r="C1209" s="4" t="s">
        <v>24</v>
      </c>
      <c r="D1209" s="4" t="s">
        <v>33</v>
      </c>
      <c r="E1209" s="4">
        <v>2</v>
      </c>
      <c r="F1209" s="4">
        <v>1814</v>
      </c>
      <c r="G1209" s="4">
        <v>3628</v>
      </c>
      <c r="H1209" s="4">
        <v>144414</v>
      </c>
      <c r="I1209" s="4"/>
      <c r="J1209" s="4"/>
      <c r="K1209" s="4"/>
      <c r="L1209" s="6">
        <f t="shared" si="18"/>
        <v>0.0251222180675004</v>
      </c>
      <c r="M1209" s="4"/>
    </row>
    <row r="1210" spans="1:13">
      <c r="A1210" s="3">
        <v>45704</v>
      </c>
      <c r="B1210" s="4" t="s">
        <v>8</v>
      </c>
      <c r="C1210" s="4" t="s">
        <v>24</v>
      </c>
      <c r="D1210" s="4" t="s">
        <v>27</v>
      </c>
      <c r="E1210" s="4">
        <v>6</v>
      </c>
      <c r="F1210" s="4">
        <v>33104</v>
      </c>
      <c r="G1210" s="4">
        <v>198624</v>
      </c>
      <c r="H1210" s="4">
        <v>71380</v>
      </c>
      <c r="I1210" s="4"/>
      <c r="J1210" s="4"/>
      <c r="K1210" s="4"/>
      <c r="L1210" s="6">
        <f t="shared" si="18"/>
        <v>2.78262818716727</v>
      </c>
      <c r="M1210" s="4"/>
    </row>
    <row r="1211" spans="1:13">
      <c r="A1211" s="3">
        <v>45758</v>
      </c>
      <c r="B1211" s="4" t="s">
        <v>4</v>
      </c>
      <c r="C1211" s="4" t="s">
        <v>24</v>
      </c>
      <c r="D1211" s="4" t="s">
        <v>29</v>
      </c>
      <c r="E1211" s="4">
        <v>4</v>
      </c>
      <c r="F1211" s="4">
        <v>1070</v>
      </c>
      <c r="G1211" s="4">
        <v>4280</v>
      </c>
      <c r="H1211" s="4">
        <v>167337</v>
      </c>
      <c r="I1211" s="4"/>
      <c r="J1211" s="4"/>
      <c r="K1211" s="4"/>
      <c r="L1211" s="6">
        <f t="shared" si="18"/>
        <v>0.0255771287880146</v>
      </c>
      <c r="M1211" s="4"/>
    </row>
    <row r="1212" spans="1:13">
      <c r="A1212" s="3">
        <v>45819</v>
      </c>
      <c r="B1212" s="4" t="s">
        <v>2</v>
      </c>
      <c r="C1212" s="4" t="s">
        <v>24</v>
      </c>
      <c r="D1212" s="4" t="s">
        <v>23</v>
      </c>
      <c r="E1212" s="4">
        <v>4</v>
      </c>
      <c r="F1212" s="4">
        <v>15666</v>
      </c>
      <c r="G1212" s="4">
        <v>62664</v>
      </c>
      <c r="H1212" s="4">
        <v>178907</v>
      </c>
      <c r="I1212" s="4"/>
      <c r="J1212" s="4"/>
      <c r="K1212" s="4"/>
      <c r="L1212" s="6">
        <f t="shared" si="18"/>
        <v>0.350260191048981</v>
      </c>
      <c r="M1212" s="4"/>
    </row>
    <row r="1213" spans="1:13">
      <c r="A1213" s="3">
        <v>45826</v>
      </c>
      <c r="B1213" s="4" t="s">
        <v>4</v>
      </c>
      <c r="C1213" s="4" t="s">
        <v>22</v>
      </c>
      <c r="D1213" s="4" t="s">
        <v>29</v>
      </c>
      <c r="E1213" s="4">
        <v>3</v>
      </c>
      <c r="F1213" s="4">
        <v>29636</v>
      </c>
      <c r="G1213" s="4">
        <v>88908</v>
      </c>
      <c r="H1213" s="4">
        <v>105419</v>
      </c>
      <c r="I1213" s="4"/>
      <c r="J1213" s="4"/>
      <c r="K1213" s="4"/>
      <c r="L1213" s="6">
        <f t="shared" si="18"/>
        <v>0.843377379789222</v>
      </c>
      <c r="M1213" s="4"/>
    </row>
    <row r="1214" spans="1:13">
      <c r="A1214" s="3">
        <v>45784</v>
      </c>
      <c r="B1214" s="4" t="s">
        <v>6</v>
      </c>
      <c r="C1214" s="4" t="s">
        <v>26</v>
      </c>
      <c r="D1214" s="4" t="s">
        <v>32</v>
      </c>
      <c r="E1214" s="4">
        <v>10</v>
      </c>
      <c r="F1214" s="4">
        <v>9663</v>
      </c>
      <c r="G1214" s="4">
        <v>96630</v>
      </c>
      <c r="H1214" s="4">
        <v>133395</v>
      </c>
      <c r="I1214" s="4"/>
      <c r="J1214" s="4"/>
      <c r="K1214" s="4"/>
      <c r="L1214" s="6">
        <f t="shared" si="18"/>
        <v>0.724389969639042</v>
      </c>
      <c r="M1214" s="4"/>
    </row>
    <row r="1215" spans="1:13">
      <c r="A1215" s="3">
        <v>45680</v>
      </c>
      <c r="B1215" s="4" t="s">
        <v>8</v>
      </c>
      <c r="C1215" s="4" t="s">
        <v>28</v>
      </c>
      <c r="D1215" s="4" t="s">
        <v>29</v>
      </c>
      <c r="E1215" s="4">
        <v>4</v>
      </c>
      <c r="F1215" s="4">
        <v>47870</v>
      </c>
      <c r="G1215" s="4">
        <v>191480</v>
      </c>
      <c r="H1215" s="4">
        <v>152464</v>
      </c>
      <c r="I1215" s="4"/>
      <c r="J1215" s="4"/>
      <c r="K1215" s="4"/>
      <c r="L1215" s="6">
        <f t="shared" si="18"/>
        <v>1.2559030328471</v>
      </c>
      <c r="M1215" s="4"/>
    </row>
    <row r="1216" spans="1:13">
      <c r="A1216" s="3">
        <v>45786</v>
      </c>
      <c r="B1216" s="4" t="s">
        <v>8</v>
      </c>
      <c r="C1216" s="4" t="s">
        <v>24</v>
      </c>
      <c r="D1216" s="4" t="s">
        <v>27</v>
      </c>
      <c r="E1216" s="4">
        <v>1</v>
      </c>
      <c r="F1216" s="4">
        <v>12964</v>
      </c>
      <c r="G1216" s="4">
        <v>12964</v>
      </c>
      <c r="H1216" s="4">
        <v>107021</v>
      </c>
      <c r="I1216" s="4"/>
      <c r="J1216" s="4"/>
      <c r="K1216" s="4"/>
      <c r="L1216" s="6">
        <f t="shared" si="18"/>
        <v>0.121135104325319</v>
      </c>
      <c r="M1216" s="4"/>
    </row>
    <row r="1217" spans="1:13">
      <c r="A1217" s="3">
        <v>45771</v>
      </c>
      <c r="B1217" s="4" t="s">
        <v>3</v>
      </c>
      <c r="C1217" s="4" t="s">
        <v>26</v>
      </c>
      <c r="D1217" s="4" t="s">
        <v>31</v>
      </c>
      <c r="E1217" s="4">
        <v>4</v>
      </c>
      <c r="F1217" s="4">
        <v>33166</v>
      </c>
      <c r="G1217" s="4">
        <v>132664</v>
      </c>
      <c r="H1217" s="4">
        <v>14685</v>
      </c>
      <c r="I1217" s="4"/>
      <c r="J1217" s="4"/>
      <c r="K1217" s="4"/>
      <c r="L1217" s="6">
        <f t="shared" si="18"/>
        <v>9.03398025195778</v>
      </c>
      <c r="M1217" s="4"/>
    </row>
    <row r="1218" spans="1:13">
      <c r="A1218" s="3">
        <v>45808</v>
      </c>
      <c r="B1218" s="4" t="s">
        <v>7</v>
      </c>
      <c r="C1218" s="4" t="s">
        <v>28</v>
      </c>
      <c r="D1218" s="4" t="s">
        <v>29</v>
      </c>
      <c r="E1218" s="4">
        <v>8</v>
      </c>
      <c r="F1218" s="4">
        <v>47637</v>
      </c>
      <c r="G1218" s="4">
        <v>381096</v>
      </c>
      <c r="H1218" s="4">
        <v>45101</v>
      </c>
      <c r="I1218" s="4"/>
      <c r="J1218" s="4"/>
      <c r="K1218" s="4"/>
      <c r="L1218" s="6">
        <f t="shared" si="18"/>
        <v>8.44983481519257</v>
      </c>
      <c r="M1218" s="4"/>
    </row>
    <row r="1219" spans="1:13">
      <c r="A1219" s="3">
        <v>45753</v>
      </c>
      <c r="B1219" s="4" t="s">
        <v>3</v>
      </c>
      <c r="C1219" s="4" t="s">
        <v>28</v>
      </c>
      <c r="D1219" s="4" t="s">
        <v>23</v>
      </c>
      <c r="E1219" s="4">
        <v>5</v>
      </c>
      <c r="F1219" s="4">
        <v>32672</v>
      </c>
      <c r="G1219" s="4">
        <v>163360</v>
      </c>
      <c r="H1219" s="4">
        <v>13643</v>
      </c>
      <c r="I1219" s="4"/>
      <c r="J1219" s="4"/>
      <c r="K1219" s="4"/>
      <c r="L1219" s="6">
        <f t="shared" ref="L1219:L1282" si="19">G1219/H1219</f>
        <v>11.9739060323976</v>
      </c>
      <c r="M1219" s="4"/>
    </row>
    <row r="1220" spans="1:13">
      <c r="A1220" s="3">
        <v>45718</v>
      </c>
      <c r="B1220" s="4" t="s">
        <v>6</v>
      </c>
      <c r="C1220" s="4" t="s">
        <v>28</v>
      </c>
      <c r="D1220" s="4" t="s">
        <v>29</v>
      </c>
      <c r="E1220" s="4">
        <v>5</v>
      </c>
      <c r="F1220" s="4">
        <v>19337</v>
      </c>
      <c r="G1220" s="4">
        <v>96685</v>
      </c>
      <c r="H1220" s="4">
        <v>197158</v>
      </c>
      <c r="I1220" s="4"/>
      <c r="J1220" s="4"/>
      <c r="K1220" s="4"/>
      <c r="L1220" s="6">
        <f t="shared" si="19"/>
        <v>0.49039349151442</v>
      </c>
      <c r="M1220" s="4"/>
    </row>
    <row r="1221" spans="1:13">
      <c r="A1221" s="3">
        <v>45762</v>
      </c>
      <c r="B1221" s="4" t="s">
        <v>7</v>
      </c>
      <c r="C1221" s="4" t="s">
        <v>28</v>
      </c>
      <c r="D1221" s="4" t="s">
        <v>23</v>
      </c>
      <c r="E1221" s="4">
        <v>10</v>
      </c>
      <c r="F1221" s="4">
        <v>22443</v>
      </c>
      <c r="G1221" s="4">
        <v>224430</v>
      </c>
      <c r="H1221" s="4">
        <v>98729</v>
      </c>
      <c r="I1221" s="4"/>
      <c r="J1221" s="4"/>
      <c r="K1221" s="4"/>
      <c r="L1221" s="6">
        <f t="shared" si="19"/>
        <v>2.2731922738</v>
      </c>
      <c r="M1221" s="4"/>
    </row>
    <row r="1222" spans="1:13">
      <c r="A1222" s="3">
        <v>45838</v>
      </c>
      <c r="B1222" s="4" t="s">
        <v>4</v>
      </c>
      <c r="C1222" s="4" t="s">
        <v>26</v>
      </c>
      <c r="D1222" s="4" t="s">
        <v>27</v>
      </c>
      <c r="E1222" s="4">
        <v>8</v>
      </c>
      <c r="F1222" s="4">
        <v>2421</v>
      </c>
      <c r="G1222" s="4">
        <v>19368</v>
      </c>
      <c r="H1222" s="4">
        <v>127172</v>
      </c>
      <c r="I1222" s="4"/>
      <c r="J1222" s="4"/>
      <c r="K1222" s="4"/>
      <c r="L1222" s="6">
        <f t="shared" si="19"/>
        <v>0.152297675588966</v>
      </c>
      <c r="M1222" s="4"/>
    </row>
    <row r="1223" spans="1:13">
      <c r="A1223" s="3">
        <v>45813</v>
      </c>
      <c r="B1223" s="4" t="s">
        <v>5</v>
      </c>
      <c r="C1223" s="4" t="s">
        <v>28</v>
      </c>
      <c r="D1223" s="4" t="s">
        <v>33</v>
      </c>
      <c r="E1223" s="4">
        <v>6</v>
      </c>
      <c r="F1223" s="4">
        <v>49182</v>
      </c>
      <c r="G1223" s="4">
        <v>295092</v>
      </c>
      <c r="H1223" s="4">
        <v>109661</v>
      </c>
      <c r="I1223" s="4"/>
      <c r="J1223" s="4"/>
      <c r="K1223" s="4"/>
      <c r="L1223" s="6">
        <f t="shared" si="19"/>
        <v>2.69094755656067</v>
      </c>
      <c r="M1223" s="4"/>
    </row>
    <row r="1224" spans="1:13">
      <c r="A1224" s="3">
        <v>45757</v>
      </c>
      <c r="B1224" s="4" t="s">
        <v>8</v>
      </c>
      <c r="C1224" s="4" t="s">
        <v>28</v>
      </c>
      <c r="D1224" s="4" t="s">
        <v>33</v>
      </c>
      <c r="E1224" s="4">
        <v>8</v>
      </c>
      <c r="F1224" s="4">
        <v>38385</v>
      </c>
      <c r="G1224" s="4">
        <v>307080</v>
      </c>
      <c r="H1224" s="4">
        <v>17695</v>
      </c>
      <c r="I1224" s="4"/>
      <c r="J1224" s="4"/>
      <c r="K1224" s="4"/>
      <c r="L1224" s="6">
        <f t="shared" si="19"/>
        <v>17.3540548177451</v>
      </c>
      <c r="M1224" s="4"/>
    </row>
    <row r="1225" spans="1:13">
      <c r="A1225" s="3">
        <v>45786</v>
      </c>
      <c r="B1225" s="4" t="s">
        <v>2</v>
      </c>
      <c r="C1225" s="4" t="s">
        <v>24</v>
      </c>
      <c r="D1225" s="4" t="s">
        <v>29</v>
      </c>
      <c r="E1225" s="4">
        <v>2</v>
      </c>
      <c r="F1225" s="4">
        <v>34761</v>
      </c>
      <c r="G1225" s="4">
        <v>69522</v>
      </c>
      <c r="H1225" s="4">
        <v>116901</v>
      </c>
      <c r="I1225" s="4"/>
      <c r="J1225" s="4"/>
      <c r="K1225" s="4"/>
      <c r="L1225" s="6">
        <f t="shared" si="19"/>
        <v>0.594708342956861</v>
      </c>
      <c r="M1225" s="4"/>
    </row>
    <row r="1226" spans="1:13">
      <c r="A1226" s="3">
        <v>45761</v>
      </c>
      <c r="B1226" s="4" t="s">
        <v>6</v>
      </c>
      <c r="C1226" s="4" t="s">
        <v>24</v>
      </c>
      <c r="D1226" s="4" t="s">
        <v>33</v>
      </c>
      <c r="E1226" s="4">
        <v>8</v>
      </c>
      <c r="F1226" s="4">
        <v>10043</v>
      </c>
      <c r="G1226" s="4">
        <v>80344</v>
      </c>
      <c r="H1226" s="4">
        <v>66782</v>
      </c>
      <c r="I1226" s="4"/>
      <c r="J1226" s="4"/>
      <c r="K1226" s="4"/>
      <c r="L1226" s="6">
        <f t="shared" si="19"/>
        <v>1.20307867389416</v>
      </c>
      <c r="M1226" s="4"/>
    </row>
    <row r="1227" spans="1:13">
      <c r="A1227" s="3">
        <v>45739</v>
      </c>
      <c r="B1227" s="4" t="s">
        <v>4</v>
      </c>
      <c r="C1227" s="4" t="s">
        <v>22</v>
      </c>
      <c r="D1227" s="4" t="s">
        <v>23</v>
      </c>
      <c r="E1227" s="4">
        <v>6</v>
      </c>
      <c r="F1227" s="4">
        <v>24376</v>
      </c>
      <c r="G1227" s="4">
        <v>146256</v>
      </c>
      <c r="H1227" s="4">
        <v>190631</v>
      </c>
      <c r="I1227" s="4"/>
      <c r="J1227" s="4"/>
      <c r="K1227" s="4"/>
      <c r="L1227" s="6">
        <f t="shared" si="19"/>
        <v>0.767220441586101</v>
      </c>
      <c r="M1227" s="4"/>
    </row>
    <row r="1228" spans="1:13">
      <c r="A1228" s="3">
        <v>45808</v>
      </c>
      <c r="B1228" s="4" t="s">
        <v>2</v>
      </c>
      <c r="C1228" s="4" t="s">
        <v>28</v>
      </c>
      <c r="D1228" s="4" t="s">
        <v>30</v>
      </c>
      <c r="E1228" s="4">
        <v>10</v>
      </c>
      <c r="F1228" s="4">
        <v>43258</v>
      </c>
      <c r="G1228" s="4">
        <v>432580</v>
      </c>
      <c r="H1228" s="4">
        <v>33100</v>
      </c>
      <c r="I1228" s="4"/>
      <c r="J1228" s="4"/>
      <c r="K1228" s="4"/>
      <c r="L1228" s="6">
        <f t="shared" si="19"/>
        <v>13.0688821752266</v>
      </c>
      <c r="M1228" s="4"/>
    </row>
    <row r="1229" spans="1:13">
      <c r="A1229" s="3">
        <v>45673</v>
      </c>
      <c r="B1229" s="4" t="s">
        <v>6</v>
      </c>
      <c r="C1229" s="4" t="s">
        <v>24</v>
      </c>
      <c r="D1229" s="4" t="s">
        <v>30</v>
      </c>
      <c r="E1229" s="4">
        <v>8</v>
      </c>
      <c r="F1229" s="4">
        <v>22733</v>
      </c>
      <c r="G1229" s="4">
        <v>181864</v>
      </c>
      <c r="H1229" s="4">
        <v>173269</v>
      </c>
      <c r="I1229" s="4"/>
      <c r="J1229" s="4"/>
      <c r="K1229" s="4"/>
      <c r="L1229" s="6">
        <f t="shared" si="19"/>
        <v>1.04960494952934</v>
      </c>
      <c r="M1229" s="4"/>
    </row>
    <row r="1230" spans="1:13">
      <c r="A1230" s="3">
        <v>45727</v>
      </c>
      <c r="B1230" s="4" t="s">
        <v>2</v>
      </c>
      <c r="C1230" s="4" t="s">
        <v>28</v>
      </c>
      <c r="D1230" s="4" t="s">
        <v>23</v>
      </c>
      <c r="E1230" s="4">
        <v>8</v>
      </c>
      <c r="F1230" s="4">
        <v>23067</v>
      </c>
      <c r="G1230" s="4">
        <v>184536</v>
      </c>
      <c r="H1230" s="4">
        <v>73632</v>
      </c>
      <c r="I1230" s="4"/>
      <c r="J1230" s="4"/>
      <c r="K1230" s="4"/>
      <c r="L1230" s="6">
        <f t="shared" si="19"/>
        <v>2.50619295958279</v>
      </c>
      <c r="M1230" s="4"/>
    </row>
    <row r="1231" spans="1:13">
      <c r="A1231" s="3">
        <v>45661</v>
      </c>
      <c r="B1231" s="4" t="s">
        <v>8</v>
      </c>
      <c r="C1231" s="4" t="s">
        <v>28</v>
      </c>
      <c r="D1231" s="4" t="s">
        <v>23</v>
      </c>
      <c r="E1231" s="4">
        <v>5</v>
      </c>
      <c r="F1231" s="4">
        <v>36041</v>
      </c>
      <c r="G1231" s="4">
        <v>180205</v>
      </c>
      <c r="H1231" s="4">
        <v>59690</v>
      </c>
      <c r="I1231" s="4"/>
      <c r="J1231" s="4"/>
      <c r="K1231" s="4"/>
      <c r="L1231" s="6">
        <f t="shared" si="19"/>
        <v>3.01901491037025</v>
      </c>
      <c r="M1231" s="4"/>
    </row>
    <row r="1232" spans="1:13">
      <c r="A1232" s="3">
        <v>45816</v>
      </c>
      <c r="B1232" s="4" t="s">
        <v>7</v>
      </c>
      <c r="C1232" s="4" t="s">
        <v>28</v>
      </c>
      <c r="D1232" s="4" t="s">
        <v>27</v>
      </c>
      <c r="E1232" s="4">
        <v>1</v>
      </c>
      <c r="F1232" s="4">
        <v>21645</v>
      </c>
      <c r="G1232" s="4">
        <v>21645</v>
      </c>
      <c r="H1232" s="4">
        <v>112536</v>
      </c>
      <c r="I1232" s="4"/>
      <c r="J1232" s="4"/>
      <c r="K1232" s="4"/>
      <c r="L1232" s="6">
        <f t="shared" si="19"/>
        <v>0.192338451695457</v>
      </c>
      <c r="M1232" s="4"/>
    </row>
    <row r="1233" spans="1:13">
      <c r="A1233" s="3">
        <v>45806</v>
      </c>
      <c r="B1233" s="4" t="s">
        <v>3</v>
      </c>
      <c r="C1233" s="4" t="s">
        <v>24</v>
      </c>
      <c r="D1233" s="4" t="s">
        <v>32</v>
      </c>
      <c r="E1233" s="4">
        <v>1</v>
      </c>
      <c r="F1233" s="4">
        <v>48494</v>
      </c>
      <c r="G1233" s="4">
        <v>48494</v>
      </c>
      <c r="H1233" s="4">
        <v>113427</v>
      </c>
      <c r="I1233" s="4"/>
      <c r="J1233" s="4"/>
      <c r="K1233" s="4"/>
      <c r="L1233" s="6">
        <f t="shared" si="19"/>
        <v>0.427534890281855</v>
      </c>
      <c r="M1233" s="4"/>
    </row>
    <row r="1234" spans="1:13">
      <c r="A1234" s="3">
        <v>45819</v>
      </c>
      <c r="B1234" s="4" t="s">
        <v>8</v>
      </c>
      <c r="C1234" s="4" t="s">
        <v>28</v>
      </c>
      <c r="D1234" s="4" t="s">
        <v>31</v>
      </c>
      <c r="E1234" s="4">
        <v>3</v>
      </c>
      <c r="F1234" s="4">
        <v>2510</v>
      </c>
      <c r="G1234" s="4">
        <v>7530</v>
      </c>
      <c r="H1234" s="4">
        <v>178479</v>
      </c>
      <c r="I1234" s="4"/>
      <c r="J1234" s="4"/>
      <c r="K1234" s="4"/>
      <c r="L1234" s="6">
        <f t="shared" si="19"/>
        <v>0.0421898374598692</v>
      </c>
      <c r="M1234" s="4"/>
    </row>
    <row r="1235" spans="1:13">
      <c r="A1235" s="3">
        <v>45757</v>
      </c>
      <c r="B1235" s="4" t="s">
        <v>8</v>
      </c>
      <c r="C1235" s="4" t="s">
        <v>28</v>
      </c>
      <c r="D1235" s="4" t="s">
        <v>23</v>
      </c>
      <c r="E1235" s="4">
        <v>10</v>
      </c>
      <c r="F1235" s="4">
        <v>1865</v>
      </c>
      <c r="G1235" s="4">
        <v>18650</v>
      </c>
      <c r="H1235" s="4">
        <v>114008</v>
      </c>
      <c r="I1235" s="4"/>
      <c r="J1235" s="4"/>
      <c r="K1235" s="4"/>
      <c r="L1235" s="6">
        <f t="shared" si="19"/>
        <v>0.163585011578135</v>
      </c>
      <c r="M1235" s="4"/>
    </row>
    <row r="1236" spans="1:13">
      <c r="A1236" s="3">
        <v>45762</v>
      </c>
      <c r="B1236" s="4" t="s">
        <v>8</v>
      </c>
      <c r="C1236" s="4" t="s">
        <v>24</v>
      </c>
      <c r="D1236" s="4" t="s">
        <v>27</v>
      </c>
      <c r="E1236" s="4">
        <v>10</v>
      </c>
      <c r="F1236" s="4">
        <v>3394</v>
      </c>
      <c r="G1236" s="4">
        <v>33940</v>
      </c>
      <c r="H1236" s="4">
        <v>194108</v>
      </c>
      <c r="I1236" s="4"/>
      <c r="J1236" s="4"/>
      <c r="K1236" s="4"/>
      <c r="L1236" s="6">
        <f t="shared" si="19"/>
        <v>0.174851113812929</v>
      </c>
      <c r="M1236" s="4"/>
    </row>
    <row r="1237" spans="1:13">
      <c r="A1237" s="3">
        <v>45730</v>
      </c>
      <c r="B1237" s="4" t="s">
        <v>4</v>
      </c>
      <c r="C1237" s="4" t="s">
        <v>28</v>
      </c>
      <c r="D1237" s="4" t="s">
        <v>25</v>
      </c>
      <c r="E1237" s="4">
        <v>6</v>
      </c>
      <c r="F1237" s="4">
        <v>12315</v>
      </c>
      <c r="G1237" s="4">
        <v>73890</v>
      </c>
      <c r="H1237" s="4">
        <v>128102</v>
      </c>
      <c r="I1237" s="4"/>
      <c r="J1237" s="4"/>
      <c r="K1237" s="4"/>
      <c r="L1237" s="6">
        <f t="shared" si="19"/>
        <v>0.57680598273251</v>
      </c>
      <c r="M1237" s="4"/>
    </row>
    <row r="1238" spans="1:13">
      <c r="A1238" s="3">
        <v>45797</v>
      </c>
      <c r="B1238" s="4" t="s">
        <v>8</v>
      </c>
      <c r="C1238" s="4" t="s">
        <v>24</v>
      </c>
      <c r="D1238" s="4" t="s">
        <v>23</v>
      </c>
      <c r="E1238" s="4">
        <v>8</v>
      </c>
      <c r="F1238" s="4">
        <v>5352</v>
      </c>
      <c r="G1238" s="4">
        <v>42816</v>
      </c>
      <c r="H1238" s="4">
        <v>157827</v>
      </c>
      <c r="I1238" s="4"/>
      <c r="J1238" s="4"/>
      <c r="K1238" s="4"/>
      <c r="L1238" s="6">
        <f t="shared" si="19"/>
        <v>0.271284380999449</v>
      </c>
      <c r="M1238" s="4"/>
    </row>
    <row r="1239" spans="1:13">
      <c r="A1239" s="3">
        <v>45676</v>
      </c>
      <c r="B1239" s="4" t="s">
        <v>5</v>
      </c>
      <c r="C1239" s="4" t="s">
        <v>28</v>
      </c>
      <c r="D1239" s="4" t="s">
        <v>32</v>
      </c>
      <c r="E1239" s="4">
        <v>5</v>
      </c>
      <c r="F1239" s="4">
        <v>47891</v>
      </c>
      <c r="G1239" s="4">
        <v>239455</v>
      </c>
      <c r="H1239" s="4">
        <v>166109</v>
      </c>
      <c r="I1239" s="4"/>
      <c r="J1239" s="4"/>
      <c r="K1239" s="4"/>
      <c r="L1239" s="6">
        <f t="shared" si="19"/>
        <v>1.44155343780289</v>
      </c>
      <c r="M1239" s="4"/>
    </row>
    <row r="1240" spans="1:13">
      <c r="A1240" s="3">
        <v>45739</v>
      </c>
      <c r="B1240" s="4" t="s">
        <v>3</v>
      </c>
      <c r="C1240" s="4" t="s">
        <v>24</v>
      </c>
      <c r="D1240" s="4" t="s">
        <v>31</v>
      </c>
      <c r="E1240" s="4">
        <v>5</v>
      </c>
      <c r="F1240" s="4">
        <v>4547</v>
      </c>
      <c r="G1240" s="4">
        <v>22735</v>
      </c>
      <c r="H1240" s="4">
        <v>40650</v>
      </c>
      <c r="I1240" s="4"/>
      <c r="J1240" s="4"/>
      <c r="K1240" s="4"/>
      <c r="L1240" s="6">
        <f t="shared" si="19"/>
        <v>0.559286592865929</v>
      </c>
      <c r="M1240" s="4"/>
    </row>
    <row r="1241" spans="1:13">
      <c r="A1241" s="3">
        <v>45724</v>
      </c>
      <c r="B1241" s="4" t="s">
        <v>8</v>
      </c>
      <c r="C1241" s="4" t="s">
        <v>24</v>
      </c>
      <c r="D1241" s="4" t="s">
        <v>31</v>
      </c>
      <c r="E1241" s="4">
        <v>9</v>
      </c>
      <c r="F1241" s="4">
        <v>16249</v>
      </c>
      <c r="G1241" s="4">
        <v>146241</v>
      </c>
      <c r="H1241" s="4">
        <v>11081</v>
      </c>
      <c r="I1241" s="4"/>
      <c r="J1241" s="4"/>
      <c r="K1241" s="4"/>
      <c r="L1241" s="6">
        <f t="shared" si="19"/>
        <v>13.19745510333</v>
      </c>
      <c r="M1241" s="4"/>
    </row>
    <row r="1242" spans="1:13">
      <c r="A1242" s="3">
        <v>45717</v>
      </c>
      <c r="B1242" s="4" t="s">
        <v>4</v>
      </c>
      <c r="C1242" s="4" t="s">
        <v>26</v>
      </c>
      <c r="D1242" s="4" t="s">
        <v>31</v>
      </c>
      <c r="E1242" s="4">
        <v>4</v>
      </c>
      <c r="F1242" s="4">
        <v>28622</v>
      </c>
      <c r="G1242" s="4">
        <v>114488</v>
      </c>
      <c r="H1242" s="4">
        <v>37512</v>
      </c>
      <c r="I1242" s="4"/>
      <c r="J1242" s="4"/>
      <c r="K1242" s="4"/>
      <c r="L1242" s="6">
        <f t="shared" si="19"/>
        <v>3.05203668159522</v>
      </c>
      <c r="M1242" s="4"/>
    </row>
    <row r="1243" spans="1:13">
      <c r="A1243" s="3">
        <v>45818</v>
      </c>
      <c r="B1243" s="4" t="s">
        <v>2</v>
      </c>
      <c r="C1243" s="4" t="s">
        <v>22</v>
      </c>
      <c r="D1243" s="4" t="s">
        <v>23</v>
      </c>
      <c r="E1243" s="4">
        <v>10</v>
      </c>
      <c r="F1243" s="4">
        <v>37273</v>
      </c>
      <c r="G1243" s="4">
        <v>372730</v>
      </c>
      <c r="H1243" s="4">
        <v>47339</v>
      </c>
      <c r="I1243" s="4"/>
      <c r="J1243" s="4"/>
      <c r="K1243" s="4"/>
      <c r="L1243" s="6">
        <f t="shared" si="19"/>
        <v>7.87363484653246</v>
      </c>
      <c r="M1243" s="4"/>
    </row>
    <row r="1244" spans="1:13">
      <c r="A1244" s="3">
        <v>45797</v>
      </c>
      <c r="B1244" s="4" t="s">
        <v>8</v>
      </c>
      <c r="C1244" s="4" t="s">
        <v>26</v>
      </c>
      <c r="D1244" s="4" t="s">
        <v>25</v>
      </c>
      <c r="E1244" s="4">
        <v>9</v>
      </c>
      <c r="F1244" s="4">
        <v>36030</v>
      </c>
      <c r="G1244" s="4">
        <v>324270</v>
      </c>
      <c r="H1244" s="4">
        <v>134143</v>
      </c>
      <c r="I1244" s="4"/>
      <c r="J1244" s="4"/>
      <c r="K1244" s="4"/>
      <c r="L1244" s="6">
        <f t="shared" si="19"/>
        <v>2.41734566842847</v>
      </c>
      <c r="M1244" s="4"/>
    </row>
    <row r="1245" spans="1:13">
      <c r="A1245" s="3">
        <v>45833</v>
      </c>
      <c r="B1245" s="4" t="s">
        <v>4</v>
      </c>
      <c r="C1245" s="4" t="s">
        <v>28</v>
      </c>
      <c r="D1245" s="4" t="s">
        <v>30</v>
      </c>
      <c r="E1245" s="4">
        <v>10</v>
      </c>
      <c r="F1245" s="4">
        <v>2443</v>
      </c>
      <c r="G1245" s="4">
        <v>24430</v>
      </c>
      <c r="H1245" s="4">
        <v>106044</v>
      </c>
      <c r="I1245" s="4"/>
      <c r="J1245" s="4"/>
      <c r="K1245" s="4"/>
      <c r="L1245" s="6">
        <f t="shared" si="19"/>
        <v>0.230376070310437</v>
      </c>
      <c r="M1245" s="4"/>
    </row>
    <row r="1246" spans="1:13">
      <c r="A1246" s="3">
        <v>45813</v>
      </c>
      <c r="B1246" s="4" t="s">
        <v>4</v>
      </c>
      <c r="C1246" s="4" t="s">
        <v>26</v>
      </c>
      <c r="D1246" s="4" t="s">
        <v>32</v>
      </c>
      <c r="E1246" s="4">
        <v>2</v>
      </c>
      <c r="F1246" s="4">
        <v>5751</v>
      </c>
      <c r="G1246" s="4">
        <v>11502</v>
      </c>
      <c r="H1246" s="4">
        <v>9302</v>
      </c>
      <c r="I1246" s="4"/>
      <c r="J1246" s="4"/>
      <c r="K1246" s="4"/>
      <c r="L1246" s="6">
        <f t="shared" si="19"/>
        <v>1.23650827778972</v>
      </c>
      <c r="M1246" s="4"/>
    </row>
    <row r="1247" spans="1:13">
      <c r="A1247" s="3">
        <v>45722</v>
      </c>
      <c r="B1247" s="4" t="s">
        <v>7</v>
      </c>
      <c r="C1247" s="4" t="s">
        <v>26</v>
      </c>
      <c r="D1247" s="4" t="s">
        <v>23</v>
      </c>
      <c r="E1247" s="4">
        <v>2</v>
      </c>
      <c r="F1247" s="4">
        <v>17926</v>
      </c>
      <c r="G1247" s="4">
        <v>35852</v>
      </c>
      <c r="H1247" s="4">
        <v>83884</v>
      </c>
      <c r="I1247" s="4"/>
      <c r="J1247" s="4"/>
      <c r="K1247" s="4"/>
      <c r="L1247" s="6">
        <f t="shared" si="19"/>
        <v>0.42739974250155</v>
      </c>
      <c r="M1247" s="4"/>
    </row>
    <row r="1248" spans="1:13">
      <c r="A1248" s="3">
        <v>45768</v>
      </c>
      <c r="B1248" s="4" t="s">
        <v>3</v>
      </c>
      <c r="C1248" s="4" t="s">
        <v>24</v>
      </c>
      <c r="D1248" s="4" t="s">
        <v>27</v>
      </c>
      <c r="E1248" s="4">
        <v>4</v>
      </c>
      <c r="F1248" s="4">
        <v>40298</v>
      </c>
      <c r="G1248" s="4">
        <v>161192</v>
      </c>
      <c r="H1248" s="4">
        <v>46572</v>
      </c>
      <c r="I1248" s="4"/>
      <c r="J1248" s="4"/>
      <c r="K1248" s="4"/>
      <c r="L1248" s="6">
        <f t="shared" si="19"/>
        <v>3.46113544619084</v>
      </c>
      <c r="M1248" s="4"/>
    </row>
    <row r="1249" spans="1:13">
      <c r="A1249" s="3">
        <v>45815</v>
      </c>
      <c r="B1249" s="4" t="s">
        <v>4</v>
      </c>
      <c r="C1249" s="4" t="s">
        <v>22</v>
      </c>
      <c r="D1249" s="4" t="s">
        <v>31</v>
      </c>
      <c r="E1249" s="4">
        <v>9</v>
      </c>
      <c r="F1249" s="4">
        <v>43677</v>
      </c>
      <c r="G1249" s="4">
        <v>393093</v>
      </c>
      <c r="H1249" s="4">
        <v>25635</v>
      </c>
      <c r="I1249" s="4"/>
      <c r="J1249" s="4"/>
      <c r="K1249" s="4"/>
      <c r="L1249" s="6">
        <f t="shared" si="19"/>
        <v>15.3342305441779</v>
      </c>
      <c r="M1249" s="4"/>
    </row>
    <row r="1250" spans="1:13">
      <c r="A1250" s="3">
        <v>45691</v>
      </c>
      <c r="B1250" s="4" t="s">
        <v>6</v>
      </c>
      <c r="C1250" s="4" t="s">
        <v>28</v>
      </c>
      <c r="D1250" s="4" t="s">
        <v>29</v>
      </c>
      <c r="E1250" s="4">
        <v>1</v>
      </c>
      <c r="F1250" s="4">
        <v>27770</v>
      </c>
      <c r="G1250" s="4">
        <v>27770</v>
      </c>
      <c r="H1250" s="4">
        <v>105386</v>
      </c>
      <c r="I1250" s="4"/>
      <c r="J1250" s="4"/>
      <c r="K1250" s="4"/>
      <c r="L1250" s="6">
        <f t="shared" si="19"/>
        <v>0.263507486762948</v>
      </c>
      <c r="M1250" s="4"/>
    </row>
    <row r="1251" spans="1:13">
      <c r="A1251" s="3">
        <v>45712</v>
      </c>
      <c r="B1251" s="4" t="s">
        <v>7</v>
      </c>
      <c r="C1251" s="4" t="s">
        <v>28</v>
      </c>
      <c r="D1251" s="4" t="s">
        <v>29</v>
      </c>
      <c r="E1251" s="4">
        <v>6</v>
      </c>
      <c r="F1251" s="4">
        <v>23401</v>
      </c>
      <c r="G1251" s="4">
        <v>140406</v>
      </c>
      <c r="H1251" s="4">
        <v>97878</v>
      </c>
      <c r="I1251" s="4"/>
      <c r="J1251" s="4"/>
      <c r="K1251" s="4"/>
      <c r="L1251" s="6">
        <f t="shared" si="19"/>
        <v>1.4345000919512</v>
      </c>
      <c r="M1251" s="4"/>
    </row>
    <row r="1252" spans="1:13">
      <c r="A1252" s="3">
        <v>45809</v>
      </c>
      <c r="B1252" s="4" t="s">
        <v>6</v>
      </c>
      <c r="C1252" s="4" t="s">
        <v>24</v>
      </c>
      <c r="D1252" s="4" t="s">
        <v>29</v>
      </c>
      <c r="E1252" s="4">
        <v>3</v>
      </c>
      <c r="F1252" s="4">
        <v>16505</v>
      </c>
      <c r="G1252" s="4">
        <v>49515</v>
      </c>
      <c r="H1252" s="4">
        <v>153469</v>
      </c>
      <c r="I1252" s="4"/>
      <c r="J1252" s="4"/>
      <c r="K1252" s="4"/>
      <c r="L1252" s="6">
        <f t="shared" si="19"/>
        <v>0.322638448155654</v>
      </c>
      <c r="M1252" s="4"/>
    </row>
    <row r="1253" spans="1:13">
      <c r="A1253" s="3">
        <v>45770</v>
      </c>
      <c r="B1253" s="4" t="s">
        <v>8</v>
      </c>
      <c r="C1253" s="4" t="s">
        <v>24</v>
      </c>
      <c r="D1253" s="4" t="s">
        <v>31</v>
      </c>
      <c r="E1253" s="4">
        <v>6</v>
      </c>
      <c r="F1253" s="4">
        <v>17201</v>
      </c>
      <c r="G1253" s="4">
        <v>103206</v>
      </c>
      <c r="H1253" s="4">
        <v>119013</v>
      </c>
      <c r="I1253" s="4"/>
      <c r="J1253" s="4"/>
      <c r="K1253" s="4"/>
      <c r="L1253" s="6">
        <f t="shared" si="19"/>
        <v>0.867182576693302</v>
      </c>
      <c r="M1253" s="4"/>
    </row>
    <row r="1254" spans="1:13">
      <c r="A1254" s="3">
        <v>45715</v>
      </c>
      <c r="B1254" s="4" t="s">
        <v>4</v>
      </c>
      <c r="C1254" s="4" t="s">
        <v>26</v>
      </c>
      <c r="D1254" s="4" t="s">
        <v>25</v>
      </c>
      <c r="E1254" s="4">
        <v>6</v>
      </c>
      <c r="F1254" s="4">
        <v>7329</v>
      </c>
      <c r="G1254" s="4">
        <v>43974</v>
      </c>
      <c r="H1254" s="4">
        <v>126337</v>
      </c>
      <c r="I1254" s="4"/>
      <c r="J1254" s="4"/>
      <c r="K1254" s="4"/>
      <c r="L1254" s="6">
        <f t="shared" si="19"/>
        <v>0.348069053404782</v>
      </c>
      <c r="M1254" s="4"/>
    </row>
    <row r="1255" spans="1:13">
      <c r="A1255" s="3">
        <v>45746</v>
      </c>
      <c r="B1255" s="4" t="s">
        <v>8</v>
      </c>
      <c r="C1255" s="4" t="s">
        <v>24</v>
      </c>
      <c r="D1255" s="4" t="s">
        <v>31</v>
      </c>
      <c r="E1255" s="4">
        <v>10</v>
      </c>
      <c r="F1255" s="4">
        <v>20483</v>
      </c>
      <c r="G1255" s="4">
        <v>204830</v>
      </c>
      <c r="H1255" s="4">
        <v>188385</v>
      </c>
      <c r="I1255" s="4"/>
      <c r="J1255" s="4"/>
      <c r="K1255" s="4"/>
      <c r="L1255" s="6">
        <f t="shared" si="19"/>
        <v>1.08729463598482</v>
      </c>
      <c r="M1255" s="4"/>
    </row>
    <row r="1256" spans="1:13">
      <c r="A1256" s="3">
        <v>45679</v>
      </c>
      <c r="B1256" s="4" t="s">
        <v>7</v>
      </c>
      <c r="C1256" s="4" t="s">
        <v>26</v>
      </c>
      <c r="D1256" s="4" t="s">
        <v>30</v>
      </c>
      <c r="E1256" s="4">
        <v>6</v>
      </c>
      <c r="F1256" s="4">
        <v>38551</v>
      </c>
      <c r="G1256" s="4">
        <v>231306</v>
      </c>
      <c r="H1256" s="4">
        <v>143029</v>
      </c>
      <c r="I1256" s="4"/>
      <c r="J1256" s="4"/>
      <c r="K1256" s="4"/>
      <c r="L1256" s="6">
        <f t="shared" si="19"/>
        <v>1.61719651259535</v>
      </c>
      <c r="M1256" s="4"/>
    </row>
    <row r="1257" spans="1:13">
      <c r="A1257" s="3">
        <v>45729</v>
      </c>
      <c r="B1257" s="4" t="s">
        <v>8</v>
      </c>
      <c r="C1257" s="4" t="s">
        <v>22</v>
      </c>
      <c r="D1257" s="4" t="s">
        <v>31</v>
      </c>
      <c r="E1257" s="4">
        <v>3</v>
      </c>
      <c r="F1257" s="4">
        <v>33698</v>
      </c>
      <c r="G1257" s="4">
        <v>101094</v>
      </c>
      <c r="H1257" s="4">
        <v>72261</v>
      </c>
      <c r="I1257" s="4"/>
      <c r="J1257" s="4"/>
      <c r="K1257" s="4"/>
      <c r="L1257" s="6">
        <f t="shared" si="19"/>
        <v>1.39901191514095</v>
      </c>
      <c r="M1257" s="4"/>
    </row>
    <row r="1258" spans="1:13">
      <c r="A1258" s="3">
        <v>45832</v>
      </c>
      <c r="B1258" s="4" t="s">
        <v>7</v>
      </c>
      <c r="C1258" s="4" t="s">
        <v>28</v>
      </c>
      <c r="D1258" s="4" t="s">
        <v>33</v>
      </c>
      <c r="E1258" s="4">
        <v>10</v>
      </c>
      <c r="F1258" s="4">
        <v>39972</v>
      </c>
      <c r="G1258" s="4">
        <v>399720</v>
      </c>
      <c r="H1258" s="4">
        <v>152329</v>
      </c>
      <c r="I1258" s="4"/>
      <c r="J1258" s="4"/>
      <c r="K1258" s="4"/>
      <c r="L1258" s="6">
        <f t="shared" si="19"/>
        <v>2.62405713948099</v>
      </c>
      <c r="M1258" s="4"/>
    </row>
    <row r="1259" spans="1:13">
      <c r="A1259" s="3">
        <v>45724</v>
      </c>
      <c r="B1259" s="4" t="s">
        <v>2</v>
      </c>
      <c r="C1259" s="4" t="s">
        <v>24</v>
      </c>
      <c r="D1259" s="4" t="s">
        <v>30</v>
      </c>
      <c r="E1259" s="4">
        <v>6</v>
      </c>
      <c r="F1259" s="4">
        <v>7090</v>
      </c>
      <c r="G1259" s="4">
        <v>42540</v>
      </c>
      <c r="H1259" s="4">
        <v>9871</v>
      </c>
      <c r="I1259" s="4"/>
      <c r="J1259" s="4"/>
      <c r="K1259" s="4"/>
      <c r="L1259" s="6">
        <f t="shared" si="19"/>
        <v>4.30959375949752</v>
      </c>
      <c r="M1259" s="4"/>
    </row>
    <row r="1260" spans="1:13">
      <c r="A1260" s="3">
        <v>45767</v>
      </c>
      <c r="B1260" s="4" t="s">
        <v>4</v>
      </c>
      <c r="C1260" s="4" t="s">
        <v>22</v>
      </c>
      <c r="D1260" s="4" t="s">
        <v>32</v>
      </c>
      <c r="E1260" s="4">
        <v>5</v>
      </c>
      <c r="F1260" s="4">
        <v>7862</v>
      </c>
      <c r="G1260" s="4">
        <v>39310</v>
      </c>
      <c r="H1260" s="4">
        <v>193336</v>
      </c>
      <c r="I1260" s="4"/>
      <c r="J1260" s="4"/>
      <c r="K1260" s="4"/>
      <c r="L1260" s="6">
        <f t="shared" si="19"/>
        <v>0.203324781727149</v>
      </c>
      <c r="M1260" s="4"/>
    </row>
    <row r="1261" spans="1:13">
      <c r="A1261" s="3">
        <v>45789</v>
      </c>
      <c r="B1261" s="4" t="s">
        <v>5</v>
      </c>
      <c r="C1261" s="4" t="s">
        <v>26</v>
      </c>
      <c r="D1261" s="4" t="s">
        <v>23</v>
      </c>
      <c r="E1261" s="4">
        <v>1</v>
      </c>
      <c r="F1261" s="4">
        <v>30437</v>
      </c>
      <c r="G1261" s="4">
        <v>30437</v>
      </c>
      <c r="H1261" s="4">
        <v>79613</v>
      </c>
      <c r="I1261" s="4"/>
      <c r="J1261" s="4"/>
      <c r="K1261" s="4"/>
      <c r="L1261" s="6">
        <f t="shared" si="19"/>
        <v>0.382311933980631</v>
      </c>
      <c r="M1261" s="4"/>
    </row>
    <row r="1262" spans="1:13">
      <c r="A1262" s="3">
        <v>45822</v>
      </c>
      <c r="B1262" s="4" t="s">
        <v>2</v>
      </c>
      <c r="C1262" s="4" t="s">
        <v>26</v>
      </c>
      <c r="D1262" s="4" t="s">
        <v>30</v>
      </c>
      <c r="E1262" s="4">
        <v>5</v>
      </c>
      <c r="F1262" s="4">
        <v>28933</v>
      </c>
      <c r="G1262" s="4">
        <v>144665</v>
      </c>
      <c r="H1262" s="4">
        <v>18032</v>
      </c>
      <c r="I1262" s="4"/>
      <c r="J1262" s="4"/>
      <c r="K1262" s="4"/>
      <c r="L1262" s="6">
        <f t="shared" si="19"/>
        <v>8.02268189884649</v>
      </c>
      <c r="M1262" s="4"/>
    </row>
    <row r="1263" spans="1:13">
      <c r="A1263" s="3">
        <v>45820</v>
      </c>
      <c r="B1263" s="4" t="s">
        <v>8</v>
      </c>
      <c r="C1263" s="4" t="s">
        <v>24</v>
      </c>
      <c r="D1263" s="4" t="s">
        <v>25</v>
      </c>
      <c r="E1263" s="4">
        <v>1</v>
      </c>
      <c r="F1263" s="4">
        <v>49112</v>
      </c>
      <c r="G1263" s="4">
        <v>49112</v>
      </c>
      <c r="H1263" s="4">
        <v>174868</v>
      </c>
      <c r="I1263" s="4"/>
      <c r="J1263" s="4"/>
      <c r="K1263" s="4"/>
      <c r="L1263" s="6">
        <f t="shared" si="19"/>
        <v>0.280851842532653</v>
      </c>
      <c r="M1263" s="4"/>
    </row>
    <row r="1264" spans="1:13">
      <c r="A1264" s="3">
        <v>45725</v>
      </c>
      <c r="B1264" s="4" t="s">
        <v>7</v>
      </c>
      <c r="C1264" s="4" t="s">
        <v>28</v>
      </c>
      <c r="D1264" s="4" t="s">
        <v>31</v>
      </c>
      <c r="E1264" s="4">
        <v>3</v>
      </c>
      <c r="F1264" s="4">
        <v>35852</v>
      </c>
      <c r="G1264" s="4">
        <v>107556</v>
      </c>
      <c r="H1264" s="4">
        <v>169904</v>
      </c>
      <c r="I1264" s="4"/>
      <c r="J1264" s="4"/>
      <c r="K1264" s="4"/>
      <c r="L1264" s="6">
        <f t="shared" si="19"/>
        <v>0.633039834259346</v>
      </c>
      <c r="M1264" s="4"/>
    </row>
    <row r="1265" spans="1:13">
      <c r="A1265" s="3">
        <v>45692</v>
      </c>
      <c r="B1265" s="4" t="s">
        <v>8</v>
      </c>
      <c r="C1265" s="4" t="s">
        <v>24</v>
      </c>
      <c r="D1265" s="4" t="s">
        <v>30</v>
      </c>
      <c r="E1265" s="4">
        <v>9</v>
      </c>
      <c r="F1265" s="4">
        <v>28269</v>
      </c>
      <c r="G1265" s="4">
        <v>254421</v>
      </c>
      <c r="H1265" s="4">
        <v>6928</v>
      </c>
      <c r="I1265" s="4"/>
      <c r="J1265" s="4"/>
      <c r="K1265" s="4"/>
      <c r="L1265" s="6">
        <f t="shared" si="19"/>
        <v>36.7235854503464</v>
      </c>
      <c r="M1265" s="4"/>
    </row>
    <row r="1266" spans="1:13">
      <c r="A1266" s="3">
        <v>45727</v>
      </c>
      <c r="B1266" s="4" t="s">
        <v>8</v>
      </c>
      <c r="C1266" s="4" t="s">
        <v>24</v>
      </c>
      <c r="D1266" s="4" t="s">
        <v>27</v>
      </c>
      <c r="E1266" s="4">
        <v>8</v>
      </c>
      <c r="F1266" s="4">
        <v>38184</v>
      </c>
      <c r="G1266" s="4">
        <v>305472</v>
      </c>
      <c r="H1266" s="4">
        <v>127598</v>
      </c>
      <c r="I1266" s="4"/>
      <c r="J1266" s="4"/>
      <c r="K1266" s="4"/>
      <c r="L1266" s="6">
        <f t="shared" si="19"/>
        <v>2.39401871502688</v>
      </c>
      <c r="M1266" s="4"/>
    </row>
    <row r="1267" spans="1:13">
      <c r="A1267" s="3">
        <v>45785</v>
      </c>
      <c r="B1267" s="4" t="s">
        <v>2</v>
      </c>
      <c r="C1267" s="4" t="s">
        <v>22</v>
      </c>
      <c r="D1267" s="4" t="s">
        <v>30</v>
      </c>
      <c r="E1267" s="4">
        <v>1</v>
      </c>
      <c r="F1267" s="4">
        <v>29529</v>
      </c>
      <c r="G1267" s="4">
        <v>29529</v>
      </c>
      <c r="H1267" s="4">
        <v>131334</v>
      </c>
      <c r="I1267" s="4"/>
      <c r="J1267" s="4"/>
      <c r="K1267" s="4"/>
      <c r="L1267" s="6">
        <f t="shared" si="19"/>
        <v>0.224838960208324</v>
      </c>
      <c r="M1267" s="4"/>
    </row>
    <row r="1268" spans="1:13">
      <c r="A1268" s="3">
        <v>45682</v>
      </c>
      <c r="B1268" s="4" t="s">
        <v>4</v>
      </c>
      <c r="C1268" s="4" t="s">
        <v>28</v>
      </c>
      <c r="D1268" s="4" t="s">
        <v>30</v>
      </c>
      <c r="E1268" s="4">
        <v>9</v>
      </c>
      <c r="F1268" s="4">
        <v>29665</v>
      </c>
      <c r="G1268" s="4">
        <v>266985</v>
      </c>
      <c r="H1268" s="4">
        <v>189428</v>
      </c>
      <c r="I1268" s="4"/>
      <c r="J1268" s="4"/>
      <c r="K1268" s="4"/>
      <c r="L1268" s="6">
        <f t="shared" si="19"/>
        <v>1.40942732858923</v>
      </c>
      <c r="M1268" s="4"/>
    </row>
    <row r="1269" spans="1:13">
      <c r="A1269" s="3">
        <v>45812</v>
      </c>
      <c r="B1269" s="4" t="s">
        <v>8</v>
      </c>
      <c r="C1269" s="4" t="s">
        <v>26</v>
      </c>
      <c r="D1269" s="4" t="s">
        <v>30</v>
      </c>
      <c r="E1269" s="4">
        <v>6</v>
      </c>
      <c r="F1269" s="4">
        <v>37627</v>
      </c>
      <c r="G1269" s="4">
        <v>225762</v>
      </c>
      <c r="H1269" s="4">
        <v>177549</v>
      </c>
      <c r="I1269" s="4"/>
      <c r="J1269" s="4"/>
      <c r="K1269" s="4"/>
      <c r="L1269" s="6">
        <f t="shared" si="19"/>
        <v>1.27154757278272</v>
      </c>
      <c r="M1269" s="4"/>
    </row>
    <row r="1270" spans="1:13">
      <c r="A1270" s="3">
        <v>45818</v>
      </c>
      <c r="B1270" s="4" t="s">
        <v>7</v>
      </c>
      <c r="C1270" s="4" t="s">
        <v>26</v>
      </c>
      <c r="D1270" s="4" t="s">
        <v>32</v>
      </c>
      <c r="E1270" s="4">
        <v>4</v>
      </c>
      <c r="F1270" s="4">
        <v>13585</v>
      </c>
      <c r="G1270" s="4">
        <v>54340</v>
      </c>
      <c r="H1270" s="4">
        <v>82613</v>
      </c>
      <c r="I1270" s="4"/>
      <c r="J1270" s="4"/>
      <c r="K1270" s="4"/>
      <c r="L1270" s="6">
        <f t="shared" si="19"/>
        <v>0.657765726943701</v>
      </c>
      <c r="M1270" s="4"/>
    </row>
    <row r="1271" spans="1:13">
      <c r="A1271" s="3">
        <v>45818</v>
      </c>
      <c r="B1271" s="4" t="s">
        <v>3</v>
      </c>
      <c r="C1271" s="4" t="s">
        <v>24</v>
      </c>
      <c r="D1271" s="4" t="s">
        <v>30</v>
      </c>
      <c r="E1271" s="4">
        <v>1</v>
      </c>
      <c r="F1271" s="4">
        <v>39684</v>
      </c>
      <c r="G1271" s="4">
        <v>39684</v>
      </c>
      <c r="H1271" s="4">
        <v>38573</v>
      </c>
      <c r="I1271" s="4"/>
      <c r="J1271" s="4"/>
      <c r="K1271" s="4"/>
      <c r="L1271" s="6">
        <f t="shared" si="19"/>
        <v>1.02880253026729</v>
      </c>
      <c r="M1271" s="4"/>
    </row>
    <row r="1272" spans="1:13">
      <c r="A1272" s="3">
        <v>45832</v>
      </c>
      <c r="B1272" s="4" t="s">
        <v>7</v>
      </c>
      <c r="C1272" s="4" t="s">
        <v>28</v>
      </c>
      <c r="D1272" s="4" t="s">
        <v>27</v>
      </c>
      <c r="E1272" s="4">
        <v>6</v>
      </c>
      <c r="F1272" s="4">
        <v>20969</v>
      </c>
      <c r="G1272" s="4">
        <v>125814</v>
      </c>
      <c r="H1272" s="4">
        <v>132054</v>
      </c>
      <c r="I1272" s="4"/>
      <c r="J1272" s="4"/>
      <c r="K1272" s="4"/>
      <c r="L1272" s="6">
        <f t="shared" si="19"/>
        <v>0.952746603662138</v>
      </c>
      <c r="M1272" s="4"/>
    </row>
    <row r="1273" spans="1:13">
      <c r="A1273" s="3">
        <v>45666</v>
      </c>
      <c r="B1273" s="4" t="s">
        <v>7</v>
      </c>
      <c r="C1273" s="4" t="s">
        <v>24</v>
      </c>
      <c r="D1273" s="4" t="s">
        <v>23</v>
      </c>
      <c r="E1273" s="4">
        <v>1</v>
      </c>
      <c r="F1273" s="4">
        <v>35134</v>
      </c>
      <c r="G1273" s="4">
        <v>35134</v>
      </c>
      <c r="H1273" s="4">
        <v>11722</v>
      </c>
      <c r="I1273" s="4"/>
      <c r="J1273" s="4"/>
      <c r="K1273" s="4"/>
      <c r="L1273" s="6">
        <f t="shared" si="19"/>
        <v>2.99727009042825</v>
      </c>
      <c r="M1273" s="4"/>
    </row>
    <row r="1274" spans="1:13">
      <c r="A1274" s="3">
        <v>45801</v>
      </c>
      <c r="B1274" s="4" t="s">
        <v>2</v>
      </c>
      <c r="C1274" s="4" t="s">
        <v>28</v>
      </c>
      <c r="D1274" s="4" t="s">
        <v>25</v>
      </c>
      <c r="E1274" s="4">
        <v>8</v>
      </c>
      <c r="F1274" s="4">
        <v>2472</v>
      </c>
      <c r="G1274" s="4">
        <v>19776</v>
      </c>
      <c r="H1274" s="4">
        <v>115515</v>
      </c>
      <c r="I1274" s="4"/>
      <c r="J1274" s="4"/>
      <c r="K1274" s="4"/>
      <c r="L1274" s="6">
        <f t="shared" si="19"/>
        <v>0.171198545643423</v>
      </c>
      <c r="M1274" s="4"/>
    </row>
    <row r="1275" spans="1:13">
      <c r="A1275" s="3">
        <v>45777</v>
      </c>
      <c r="B1275" s="4" t="s">
        <v>7</v>
      </c>
      <c r="C1275" s="4" t="s">
        <v>24</v>
      </c>
      <c r="D1275" s="4" t="s">
        <v>33</v>
      </c>
      <c r="E1275" s="4">
        <v>1</v>
      </c>
      <c r="F1275" s="4">
        <v>46310</v>
      </c>
      <c r="G1275" s="4">
        <v>46310</v>
      </c>
      <c r="H1275" s="4">
        <v>44768</v>
      </c>
      <c r="I1275" s="4"/>
      <c r="J1275" s="4"/>
      <c r="K1275" s="4"/>
      <c r="L1275" s="6">
        <f t="shared" si="19"/>
        <v>1.03444424588992</v>
      </c>
      <c r="M1275" s="4"/>
    </row>
    <row r="1276" spans="1:13">
      <c r="A1276" s="3">
        <v>45820</v>
      </c>
      <c r="B1276" s="4" t="s">
        <v>8</v>
      </c>
      <c r="C1276" s="4" t="s">
        <v>24</v>
      </c>
      <c r="D1276" s="4" t="s">
        <v>23</v>
      </c>
      <c r="E1276" s="4">
        <v>5</v>
      </c>
      <c r="F1276" s="4">
        <v>49790</v>
      </c>
      <c r="G1276" s="4">
        <v>248950</v>
      </c>
      <c r="H1276" s="4">
        <v>182752</v>
      </c>
      <c r="I1276" s="4"/>
      <c r="J1276" s="4"/>
      <c r="K1276" s="4"/>
      <c r="L1276" s="6">
        <f t="shared" si="19"/>
        <v>1.36222859394152</v>
      </c>
      <c r="M1276" s="4"/>
    </row>
    <row r="1277" spans="1:13">
      <c r="A1277" s="3">
        <v>45738</v>
      </c>
      <c r="B1277" s="4" t="s">
        <v>5</v>
      </c>
      <c r="C1277" s="4" t="s">
        <v>26</v>
      </c>
      <c r="D1277" s="4" t="s">
        <v>32</v>
      </c>
      <c r="E1277" s="4">
        <v>9</v>
      </c>
      <c r="F1277" s="4">
        <v>12279</v>
      </c>
      <c r="G1277" s="4">
        <v>110511</v>
      </c>
      <c r="H1277" s="4">
        <v>137202</v>
      </c>
      <c r="I1277" s="4"/>
      <c r="J1277" s="4"/>
      <c r="K1277" s="4"/>
      <c r="L1277" s="6">
        <f t="shared" si="19"/>
        <v>0.805462019504089</v>
      </c>
      <c r="M1277" s="4"/>
    </row>
    <row r="1278" spans="1:13">
      <c r="A1278" s="3">
        <v>45676</v>
      </c>
      <c r="B1278" s="4" t="s">
        <v>2</v>
      </c>
      <c r="C1278" s="4" t="s">
        <v>24</v>
      </c>
      <c r="D1278" s="4" t="s">
        <v>23</v>
      </c>
      <c r="E1278" s="4">
        <v>7</v>
      </c>
      <c r="F1278" s="4">
        <v>14461</v>
      </c>
      <c r="G1278" s="4">
        <v>101227</v>
      </c>
      <c r="H1278" s="4">
        <v>115571</v>
      </c>
      <c r="I1278" s="4"/>
      <c r="J1278" s="4"/>
      <c r="K1278" s="4"/>
      <c r="L1278" s="6">
        <f t="shared" si="19"/>
        <v>0.875885819106869</v>
      </c>
      <c r="M1278" s="4"/>
    </row>
    <row r="1279" spans="1:13">
      <c r="A1279" s="3">
        <v>45669</v>
      </c>
      <c r="B1279" s="4" t="s">
        <v>3</v>
      </c>
      <c r="C1279" s="4" t="s">
        <v>22</v>
      </c>
      <c r="D1279" s="4" t="s">
        <v>29</v>
      </c>
      <c r="E1279" s="4">
        <v>2</v>
      </c>
      <c r="F1279" s="4">
        <v>29637</v>
      </c>
      <c r="G1279" s="4">
        <v>59274</v>
      </c>
      <c r="H1279" s="4">
        <v>90205</v>
      </c>
      <c r="I1279" s="4"/>
      <c r="J1279" s="4"/>
      <c r="K1279" s="4"/>
      <c r="L1279" s="6">
        <f t="shared" si="19"/>
        <v>0.657103264785766</v>
      </c>
      <c r="M1279" s="4"/>
    </row>
    <row r="1280" spans="1:13">
      <c r="A1280" s="3">
        <v>45688</v>
      </c>
      <c r="B1280" s="4" t="s">
        <v>4</v>
      </c>
      <c r="C1280" s="4" t="s">
        <v>24</v>
      </c>
      <c r="D1280" s="4" t="s">
        <v>29</v>
      </c>
      <c r="E1280" s="4">
        <v>8</v>
      </c>
      <c r="F1280" s="4">
        <v>48939</v>
      </c>
      <c r="G1280" s="4">
        <v>391512</v>
      </c>
      <c r="H1280" s="4">
        <v>168124</v>
      </c>
      <c r="I1280" s="4"/>
      <c r="J1280" s="4"/>
      <c r="K1280" s="4"/>
      <c r="L1280" s="6">
        <f t="shared" si="19"/>
        <v>2.32870976184245</v>
      </c>
      <c r="M1280" s="4"/>
    </row>
    <row r="1281" spans="1:13">
      <c r="A1281" s="3">
        <v>45767</v>
      </c>
      <c r="B1281" s="4" t="s">
        <v>5</v>
      </c>
      <c r="C1281" s="4" t="s">
        <v>24</v>
      </c>
      <c r="D1281" s="4" t="s">
        <v>32</v>
      </c>
      <c r="E1281" s="4">
        <v>7</v>
      </c>
      <c r="F1281" s="4">
        <v>47147</v>
      </c>
      <c r="G1281" s="4">
        <v>330029</v>
      </c>
      <c r="H1281" s="4">
        <v>9892</v>
      </c>
      <c r="I1281" s="4"/>
      <c r="J1281" s="4"/>
      <c r="K1281" s="4"/>
      <c r="L1281" s="6">
        <f t="shared" si="19"/>
        <v>33.3632228063081</v>
      </c>
      <c r="M1281" s="4"/>
    </row>
    <row r="1282" spans="1:13">
      <c r="A1282" s="3">
        <v>45795</v>
      </c>
      <c r="B1282" s="4" t="s">
        <v>5</v>
      </c>
      <c r="C1282" s="4" t="s">
        <v>28</v>
      </c>
      <c r="D1282" s="4" t="s">
        <v>29</v>
      </c>
      <c r="E1282" s="4">
        <v>5</v>
      </c>
      <c r="F1282" s="4">
        <v>30441</v>
      </c>
      <c r="G1282" s="4">
        <v>152205</v>
      </c>
      <c r="H1282" s="4">
        <v>153034</v>
      </c>
      <c r="I1282" s="4"/>
      <c r="J1282" s="4"/>
      <c r="K1282" s="4"/>
      <c r="L1282" s="6">
        <f t="shared" si="19"/>
        <v>0.994582903145706</v>
      </c>
      <c r="M1282" s="4"/>
    </row>
    <row r="1283" spans="1:13">
      <c r="A1283" s="3">
        <v>45838</v>
      </c>
      <c r="B1283" s="4" t="s">
        <v>8</v>
      </c>
      <c r="C1283" s="4" t="s">
        <v>26</v>
      </c>
      <c r="D1283" s="4" t="s">
        <v>27</v>
      </c>
      <c r="E1283" s="4">
        <v>5</v>
      </c>
      <c r="F1283" s="4">
        <v>16649</v>
      </c>
      <c r="G1283" s="4">
        <v>83245</v>
      </c>
      <c r="H1283" s="4">
        <v>166494</v>
      </c>
      <c r="I1283" s="4"/>
      <c r="J1283" s="4"/>
      <c r="K1283" s="4"/>
      <c r="L1283" s="6">
        <f t="shared" ref="L1283:L1346" si="20">G1283/H1283</f>
        <v>0.499987987555107</v>
      </c>
      <c r="M1283" s="4"/>
    </row>
    <row r="1284" spans="1:13">
      <c r="A1284" s="3">
        <v>45829</v>
      </c>
      <c r="B1284" s="4" t="s">
        <v>3</v>
      </c>
      <c r="C1284" s="4" t="s">
        <v>28</v>
      </c>
      <c r="D1284" s="4" t="s">
        <v>30</v>
      </c>
      <c r="E1284" s="4">
        <v>10</v>
      </c>
      <c r="F1284" s="4">
        <v>28641</v>
      </c>
      <c r="G1284" s="4">
        <v>286410</v>
      </c>
      <c r="H1284" s="4">
        <v>102759</v>
      </c>
      <c r="I1284" s="4"/>
      <c r="J1284" s="4"/>
      <c r="K1284" s="4"/>
      <c r="L1284" s="6">
        <f t="shared" si="20"/>
        <v>2.78720112106969</v>
      </c>
      <c r="M1284" s="4"/>
    </row>
    <row r="1285" spans="1:13">
      <c r="A1285" s="3">
        <v>45713</v>
      </c>
      <c r="B1285" s="4" t="s">
        <v>7</v>
      </c>
      <c r="C1285" s="4" t="s">
        <v>28</v>
      </c>
      <c r="D1285" s="4" t="s">
        <v>23</v>
      </c>
      <c r="E1285" s="4">
        <v>1</v>
      </c>
      <c r="F1285" s="4">
        <v>1119</v>
      </c>
      <c r="G1285" s="4">
        <v>1119</v>
      </c>
      <c r="H1285" s="4">
        <v>94731</v>
      </c>
      <c r="I1285" s="4"/>
      <c r="J1285" s="4"/>
      <c r="K1285" s="4"/>
      <c r="L1285" s="6">
        <f t="shared" si="20"/>
        <v>0.0118123950976977</v>
      </c>
      <c r="M1285" s="4"/>
    </row>
    <row r="1286" spans="1:13">
      <c r="A1286" s="3">
        <v>45715</v>
      </c>
      <c r="B1286" s="4" t="s">
        <v>5</v>
      </c>
      <c r="C1286" s="4" t="s">
        <v>28</v>
      </c>
      <c r="D1286" s="4" t="s">
        <v>32</v>
      </c>
      <c r="E1286" s="4">
        <v>4</v>
      </c>
      <c r="F1286" s="4">
        <v>26384</v>
      </c>
      <c r="G1286" s="4">
        <v>105536</v>
      </c>
      <c r="H1286" s="4">
        <v>121280</v>
      </c>
      <c r="I1286" s="4"/>
      <c r="J1286" s="4"/>
      <c r="K1286" s="4"/>
      <c r="L1286" s="6">
        <f t="shared" si="20"/>
        <v>0.870184696569921</v>
      </c>
      <c r="M1286" s="4"/>
    </row>
    <row r="1287" spans="1:13">
      <c r="A1287" s="3">
        <v>45701</v>
      </c>
      <c r="B1287" s="4" t="s">
        <v>8</v>
      </c>
      <c r="C1287" s="4" t="s">
        <v>22</v>
      </c>
      <c r="D1287" s="4" t="s">
        <v>33</v>
      </c>
      <c r="E1287" s="4">
        <v>6</v>
      </c>
      <c r="F1287" s="4">
        <v>805</v>
      </c>
      <c r="G1287" s="4">
        <v>4830</v>
      </c>
      <c r="H1287" s="4">
        <v>134148</v>
      </c>
      <c r="I1287" s="4"/>
      <c r="J1287" s="4"/>
      <c r="K1287" s="4"/>
      <c r="L1287" s="6">
        <f t="shared" si="20"/>
        <v>0.0360050093926111</v>
      </c>
      <c r="M1287" s="4"/>
    </row>
    <row r="1288" spans="1:13">
      <c r="A1288" s="3">
        <v>45659</v>
      </c>
      <c r="B1288" s="4" t="s">
        <v>5</v>
      </c>
      <c r="C1288" s="4" t="s">
        <v>28</v>
      </c>
      <c r="D1288" s="4" t="s">
        <v>27</v>
      </c>
      <c r="E1288" s="4">
        <v>6</v>
      </c>
      <c r="F1288" s="4">
        <v>15159</v>
      </c>
      <c r="G1288" s="4">
        <v>90954</v>
      </c>
      <c r="H1288" s="4">
        <v>142514</v>
      </c>
      <c r="I1288" s="4"/>
      <c r="J1288" s="4"/>
      <c r="K1288" s="4"/>
      <c r="L1288" s="6">
        <f t="shared" si="20"/>
        <v>0.638210982780639</v>
      </c>
      <c r="M1288" s="4"/>
    </row>
    <row r="1289" spans="1:13">
      <c r="A1289" s="3">
        <v>45709</v>
      </c>
      <c r="B1289" s="4" t="s">
        <v>2</v>
      </c>
      <c r="C1289" s="4" t="s">
        <v>24</v>
      </c>
      <c r="D1289" s="4" t="s">
        <v>31</v>
      </c>
      <c r="E1289" s="4">
        <v>4</v>
      </c>
      <c r="F1289" s="4">
        <v>47715</v>
      </c>
      <c r="G1289" s="4">
        <v>190860</v>
      </c>
      <c r="H1289" s="4">
        <v>157607</v>
      </c>
      <c r="I1289" s="4"/>
      <c r="J1289" s="4"/>
      <c r="K1289" s="4"/>
      <c r="L1289" s="6">
        <f t="shared" si="20"/>
        <v>1.21098682165132</v>
      </c>
      <c r="M1289" s="4"/>
    </row>
    <row r="1290" spans="1:13">
      <c r="A1290" s="3">
        <v>45805</v>
      </c>
      <c r="B1290" s="4" t="s">
        <v>6</v>
      </c>
      <c r="C1290" s="4" t="s">
        <v>28</v>
      </c>
      <c r="D1290" s="4" t="s">
        <v>31</v>
      </c>
      <c r="E1290" s="4">
        <v>3</v>
      </c>
      <c r="F1290" s="4">
        <v>38410</v>
      </c>
      <c r="G1290" s="4">
        <v>115230</v>
      </c>
      <c r="H1290" s="4">
        <v>74119</v>
      </c>
      <c r="I1290" s="4"/>
      <c r="J1290" s="4"/>
      <c r="K1290" s="4"/>
      <c r="L1290" s="6">
        <f t="shared" si="20"/>
        <v>1.5546620974379</v>
      </c>
      <c r="M1290" s="4"/>
    </row>
    <row r="1291" spans="1:13">
      <c r="A1291" s="3">
        <v>45728</v>
      </c>
      <c r="B1291" s="4" t="s">
        <v>7</v>
      </c>
      <c r="C1291" s="4" t="s">
        <v>26</v>
      </c>
      <c r="D1291" s="4" t="s">
        <v>33</v>
      </c>
      <c r="E1291" s="4">
        <v>8</v>
      </c>
      <c r="F1291" s="4">
        <v>40430</v>
      </c>
      <c r="G1291" s="4">
        <v>323440</v>
      </c>
      <c r="H1291" s="4">
        <v>142887</v>
      </c>
      <c r="I1291" s="4"/>
      <c r="J1291" s="4"/>
      <c r="K1291" s="4"/>
      <c r="L1291" s="6">
        <f t="shared" si="20"/>
        <v>2.26360690615661</v>
      </c>
      <c r="M1291" s="4"/>
    </row>
    <row r="1292" spans="1:13">
      <c r="A1292" s="3">
        <v>45800</v>
      </c>
      <c r="B1292" s="4" t="s">
        <v>4</v>
      </c>
      <c r="C1292" s="4" t="s">
        <v>24</v>
      </c>
      <c r="D1292" s="4" t="s">
        <v>33</v>
      </c>
      <c r="E1292" s="4">
        <v>3</v>
      </c>
      <c r="F1292" s="4">
        <v>36084</v>
      </c>
      <c r="G1292" s="4">
        <v>108252</v>
      </c>
      <c r="H1292" s="4">
        <v>139688</v>
      </c>
      <c r="I1292" s="4"/>
      <c r="J1292" s="4"/>
      <c r="K1292" s="4"/>
      <c r="L1292" s="6">
        <f t="shared" si="20"/>
        <v>0.774955615371399</v>
      </c>
      <c r="M1292" s="4"/>
    </row>
    <row r="1293" spans="1:13">
      <c r="A1293" s="3">
        <v>45788</v>
      </c>
      <c r="B1293" s="4" t="s">
        <v>6</v>
      </c>
      <c r="C1293" s="4" t="s">
        <v>24</v>
      </c>
      <c r="D1293" s="4" t="s">
        <v>27</v>
      </c>
      <c r="E1293" s="4">
        <v>10</v>
      </c>
      <c r="F1293" s="4">
        <v>48727</v>
      </c>
      <c r="G1293" s="4">
        <v>487270</v>
      </c>
      <c r="H1293" s="4">
        <v>180554</v>
      </c>
      <c r="I1293" s="4"/>
      <c r="J1293" s="4"/>
      <c r="K1293" s="4"/>
      <c r="L1293" s="6">
        <f t="shared" si="20"/>
        <v>2.69874940461025</v>
      </c>
      <c r="M1293" s="4"/>
    </row>
    <row r="1294" spans="1:13">
      <c r="A1294" s="3">
        <v>45685</v>
      </c>
      <c r="B1294" s="4" t="s">
        <v>3</v>
      </c>
      <c r="C1294" s="4" t="s">
        <v>26</v>
      </c>
      <c r="D1294" s="4" t="s">
        <v>32</v>
      </c>
      <c r="E1294" s="4">
        <v>2</v>
      </c>
      <c r="F1294" s="4">
        <v>32460</v>
      </c>
      <c r="G1294" s="4">
        <v>64920</v>
      </c>
      <c r="H1294" s="4">
        <v>141878</v>
      </c>
      <c r="I1294" s="4"/>
      <c r="J1294" s="4"/>
      <c r="K1294" s="4"/>
      <c r="L1294" s="6">
        <f t="shared" si="20"/>
        <v>0.457576227463032</v>
      </c>
      <c r="M1294" s="4"/>
    </row>
    <row r="1295" spans="1:13">
      <c r="A1295" s="3">
        <v>45830</v>
      </c>
      <c r="B1295" s="4" t="s">
        <v>4</v>
      </c>
      <c r="C1295" s="4" t="s">
        <v>28</v>
      </c>
      <c r="D1295" s="4" t="s">
        <v>25</v>
      </c>
      <c r="E1295" s="4">
        <v>8</v>
      </c>
      <c r="F1295" s="4">
        <v>9226</v>
      </c>
      <c r="G1295" s="4">
        <v>73808</v>
      </c>
      <c r="H1295" s="4">
        <v>12646</v>
      </c>
      <c r="I1295" s="4"/>
      <c r="J1295" s="4"/>
      <c r="K1295" s="4"/>
      <c r="L1295" s="6">
        <f t="shared" si="20"/>
        <v>5.83647003004903</v>
      </c>
      <c r="M1295" s="4"/>
    </row>
    <row r="1296" spans="1:13">
      <c r="A1296" s="3">
        <v>45689</v>
      </c>
      <c r="B1296" s="4" t="s">
        <v>2</v>
      </c>
      <c r="C1296" s="4" t="s">
        <v>26</v>
      </c>
      <c r="D1296" s="4" t="s">
        <v>31</v>
      </c>
      <c r="E1296" s="4">
        <v>4</v>
      </c>
      <c r="F1296" s="4">
        <v>7775</v>
      </c>
      <c r="G1296" s="4">
        <v>31100</v>
      </c>
      <c r="H1296" s="4">
        <v>73564</v>
      </c>
      <c r="I1296" s="4"/>
      <c r="J1296" s="4"/>
      <c r="K1296" s="4"/>
      <c r="L1296" s="6">
        <f t="shared" si="20"/>
        <v>0.42276113316296</v>
      </c>
      <c r="M1296" s="4"/>
    </row>
    <row r="1297" spans="1:13">
      <c r="A1297" s="3">
        <v>45734</v>
      </c>
      <c r="B1297" s="4" t="s">
        <v>2</v>
      </c>
      <c r="C1297" s="4" t="s">
        <v>26</v>
      </c>
      <c r="D1297" s="4" t="s">
        <v>30</v>
      </c>
      <c r="E1297" s="4">
        <v>4</v>
      </c>
      <c r="F1297" s="4">
        <v>12459</v>
      </c>
      <c r="G1297" s="4">
        <v>49836</v>
      </c>
      <c r="H1297" s="4">
        <v>118037</v>
      </c>
      <c r="I1297" s="4"/>
      <c r="J1297" s="4"/>
      <c r="K1297" s="4"/>
      <c r="L1297" s="6">
        <f t="shared" si="20"/>
        <v>0.422206596236773</v>
      </c>
      <c r="M1297" s="4"/>
    </row>
    <row r="1298" spans="1:13">
      <c r="A1298" s="3">
        <v>45685</v>
      </c>
      <c r="B1298" s="4" t="s">
        <v>4</v>
      </c>
      <c r="C1298" s="4" t="s">
        <v>26</v>
      </c>
      <c r="D1298" s="4" t="s">
        <v>31</v>
      </c>
      <c r="E1298" s="4">
        <v>1</v>
      </c>
      <c r="F1298" s="4">
        <v>40773</v>
      </c>
      <c r="G1298" s="4">
        <v>40773</v>
      </c>
      <c r="H1298" s="4">
        <v>92191</v>
      </c>
      <c r="I1298" s="4"/>
      <c r="J1298" s="4"/>
      <c r="K1298" s="4"/>
      <c r="L1298" s="6">
        <f t="shared" si="20"/>
        <v>0.442266598691846</v>
      </c>
      <c r="M1298" s="4"/>
    </row>
    <row r="1299" spans="1:13">
      <c r="A1299" s="3">
        <v>45726</v>
      </c>
      <c r="B1299" s="4" t="s">
        <v>4</v>
      </c>
      <c r="C1299" s="4" t="s">
        <v>28</v>
      </c>
      <c r="D1299" s="4" t="s">
        <v>31</v>
      </c>
      <c r="E1299" s="4">
        <v>10</v>
      </c>
      <c r="F1299" s="4">
        <v>39161</v>
      </c>
      <c r="G1299" s="4">
        <v>391610</v>
      </c>
      <c r="H1299" s="4">
        <v>34474</v>
      </c>
      <c r="I1299" s="4"/>
      <c r="J1299" s="4"/>
      <c r="K1299" s="4"/>
      <c r="L1299" s="6">
        <f t="shared" si="20"/>
        <v>11.3595753321344</v>
      </c>
      <c r="M1299" s="4"/>
    </row>
    <row r="1300" spans="1:13">
      <c r="A1300" s="3">
        <v>45733</v>
      </c>
      <c r="B1300" s="4" t="s">
        <v>2</v>
      </c>
      <c r="C1300" s="4" t="s">
        <v>24</v>
      </c>
      <c r="D1300" s="4" t="s">
        <v>32</v>
      </c>
      <c r="E1300" s="4">
        <v>8</v>
      </c>
      <c r="F1300" s="4">
        <v>28882</v>
      </c>
      <c r="G1300" s="4">
        <v>231056</v>
      </c>
      <c r="H1300" s="4">
        <v>62135</v>
      </c>
      <c r="I1300" s="4"/>
      <c r="J1300" s="4"/>
      <c r="K1300" s="4"/>
      <c r="L1300" s="6">
        <f t="shared" si="20"/>
        <v>3.71861269815724</v>
      </c>
      <c r="M1300" s="4"/>
    </row>
    <row r="1301" spans="1:13">
      <c r="A1301" s="3">
        <v>45701</v>
      </c>
      <c r="B1301" s="4" t="s">
        <v>5</v>
      </c>
      <c r="C1301" s="4" t="s">
        <v>22</v>
      </c>
      <c r="D1301" s="4" t="s">
        <v>30</v>
      </c>
      <c r="E1301" s="4">
        <v>5</v>
      </c>
      <c r="F1301" s="4">
        <v>18867</v>
      </c>
      <c r="G1301" s="4">
        <v>94335</v>
      </c>
      <c r="H1301" s="4">
        <v>108890</v>
      </c>
      <c r="I1301" s="4"/>
      <c r="J1301" s="4"/>
      <c r="K1301" s="4"/>
      <c r="L1301" s="6">
        <f t="shared" si="20"/>
        <v>0.866332996602076</v>
      </c>
      <c r="M1301" s="4"/>
    </row>
    <row r="1302" spans="1:13">
      <c r="A1302" s="3">
        <v>45700</v>
      </c>
      <c r="B1302" s="4" t="s">
        <v>4</v>
      </c>
      <c r="C1302" s="4" t="s">
        <v>24</v>
      </c>
      <c r="D1302" s="4" t="s">
        <v>30</v>
      </c>
      <c r="E1302" s="4">
        <v>1</v>
      </c>
      <c r="F1302" s="4">
        <v>21863</v>
      </c>
      <c r="G1302" s="4">
        <v>21863</v>
      </c>
      <c r="H1302" s="4">
        <v>84508</v>
      </c>
      <c r="I1302" s="4"/>
      <c r="J1302" s="4"/>
      <c r="K1302" s="4"/>
      <c r="L1302" s="6">
        <f t="shared" si="20"/>
        <v>0.258709234628674</v>
      </c>
      <c r="M1302" s="4"/>
    </row>
    <row r="1303" spans="1:13">
      <c r="A1303" s="3">
        <v>45690</v>
      </c>
      <c r="B1303" s="4" t="s">
        <v>3</v>
      </c>
      <c r="C1303" s="4" t="s">
        <v>22</v>
      </c>
      <c r="D1303" s="4" t="s">
        <v>33</v>
      </c>
      <c r="E1303" s="4">
        <v>5</v>
      </c>
      <c r="F1303" s="4">
        <v>2303</v>
      </c>
      <c r="G1303" s="4">
        <v>11515</v>
      </c>
      <c r="H1303" s="4">
        <v>155515</v>
      </c>
      <c r="I1303" s="4"/>
      <c r="J1303" s="4"/>
      <c r="K1303" s="4"/>
      <c r="L1303" s="6">
        <f t="shared" si="20"/>
        <v>0.0740443044079349</v>
      </c>
      <c r="M1303" s="4"/>
    </row>
    <row r="1304" spans="1:13">
      <c r="A1304" s="3">
        <v>45757</v>
      </c>
      <c r="B1304" s="4" t="s">
        <v>7</v>
      </c>
      <c r="C1304" s="4" t="s">
        <v>28</v>
      </c>
      <c r="D1304" s="4" t="s">
        <v>32</v>
      </c>
      <c r="E1304" s="4">
        <v>1</v>
      </c>
      <c r="F1304" s="4">
        <v>27471</v>
      </c>
      <c r="G1304" s="4">
        <v>27471</v>
      </c>
      <c r="H1304" s="4">
        <v>66024</v>
      </c>
      <c r="I1304" s="4"/>
      <c r="J1304" s="4"/>
      <c r="K1304" s="4"/>
      <c r="L1304" s="6">
        <f t="shared" si="20"/>
        <v>0.416075972373682</v>
      </c>
      <c r="M1304" s="4"/>
    </row>
    <row r="1305" spans="1:13">
      <c r="A1305" s="3">
        <v>45755</v>
      </c>
      <c r="B1305" s="4" t="s">
        <v>3</v>
      </c>
      <c r="C1305" s="4" t="s">
        <v>24</v>
      </c>
      <c r="D1305" s="4" t="s">
        <v>29</v>
      </c>
      <c r="E1305" s="4">
        <v>4</v>
      </c>
      <c r="F1305" s="4">
        <v>26606</v>
      </c>
      <c r="G1305" s="4">
        <v>106424</v>
      </c>
      <c r="H1305" s="4">
        <v>81817</v>
      </c>
      <c r="I1305" s="4"/>
      <c r="J1305" s="4"/>
      <c r="K1305" s="4"/>
      <c r="L1305" s="6">
        <f t="shared" si="20"/>
        <v>1.30075656648374</v>
      </c>
      <c r="M1305" s="4"/>
    </row>
    <row r="1306" spans="1:13">
      <c r="A1306" s="3">
        <v>45729</v>
      </c>
      <c r="B1306" s="4" t="s">
        <v>3</v>
      </c>
      <c r="C1306" s="4" t="s">
        <v>22</v>
      </c>
      <c r="D1306" s="4" t="s">
        <v>25</v>
      </c>
      <c r="E1306" s="4">
        <v>8</v>
      </c>
      <c r="F1306" s="4">
        <v>9635</v>
      </c>
      <c r="G1306" s="4">
        <v>77080</v>
      </c>
      <c r="H1306" s="4">
        <v>195448</v>
      </c>
      <c r="I1306" s="4"/>
      <c r="J1306" s="4"/>
      <c r="K1306" s="4"/>
      <c r="L1306" s="6">
        <f t="shared" si="20"/>
        <v>0.39437599770783</v>
      </c>
      <c r="M1306" s="4"/>
    </row>
    <row r="1307" spans="1:13">
      <c r="A1307" s="3">
        <v>45772</v>
      </c>
      <c r="B1307" s="4" t="s">
        <v>5</v>
      </c>
      <c r="C1307" s="4" t="s">
        <v>24</v>
      </c>
      <c r="D1307" s="4" t="s">
        <v>33</v>
      </c>
      <c r="E1307" s="4">
        <v>4</v>
      </c>
      <c r="F1307" s="4">
        <v>42851</v>
      </c>
      <c r="G1307" s="4">
        <v>171404</v>
      </c>
      <c r="H1307" s="4">
        <v>99419</v>
      </c>
      <c r="I1307" s="4"/>
      <c r="J1307" s="4"/>
      <c r="K1307" s="4"/>
      <c r="L1307" s="6">
        <f t="shared" si="20"/>
        <v>1.72405676983273</v>
      </c>
      <c r="M1307" s="4"/>
    </row>
    <row r="1308" spans="1:13">
      <c r="A1308" s="3">
        <v>45819</v>
      </c>
      <c r="B1308" s="4" t="s">
        <v>4</v>
      </c>
      <c r="C1308" s="4" t="s">
        <v>28</v>
      </c>
      <c r="D1308" s="4" t="s">
        <v>29</v>
      </c>
      <c r="E1308" s="4">
        <v>9</v>
      </c>
      <c r="F1308" s="4">
        <v>2424</v>
      </c>
      <c r="G1308" s="4">
        <v>21816</v>
      </c>
      <c r="H1308" s="4">
        <v>133851</v>
      </c>
      <c r="I1308" s="4"/>
      <c r="J1308" s="4"/>
      <c r="K1308" s="4"/>
      <c r="L1308" s="6">
        <f t="shared" si="20"/>
        <v>0.162987202187507</v>
      </c>
      <c r="M1308" s="4"/>
    </row>
    <row r="1309" spans="1:13">
      <c r="A1309" s="3">
        <v>45667</v>
      </c>
      <c r="B1309" s="4" t="s">
        <v>8</v>
      </c>
      <c r="C1309" s="4" t="s">
        <v>22</v>
      </c>
      <c r="D1309" s="4" t="s">
        <v>31</v>
      </c>
      <c r="E1309" s="4">
        <v>7</v>
      </c>
      <c r="F1309" s="4">
        <v>18711</v>
      </c>
      <c r="G1309" s="4">
        <v>130977</v>
      </c>
      <c r="H1309" s="4">
        <v>159217</v>
      </c>
      <c r="I1309" s="4"/>
      <c r="J1309" s="4"/>
      <c r="K1309" s="4"/>
      <c r="L1309" s="6">
        <f t="shared" si="20"/>
        <v>0.82263200537631</v>
      </c>
      <c r="M1309" s="4"/>
    </row>
    <row r="1310" spans="1:13">
      <c r="A1310" s="3">
        <v>45767</v>
      </c>
      <c r="B1310" s="4" t="s">
        <v>8</v>
      </c>
      <c r="C1310" s="4" t="s">
        <v>24</v>
      </c>
      <c r="D1310" s="4" t="s">
        <v>33</v>
      </c>
      <c r="E1310" s="4">
        <v>4</v>
      </c>
      <c r="F1310" s="4">
        <v>17675</v>
      </c>
      <c r="G1310" s="4">
        <v>70700</v>
      </c>
      <c r="H1310" s="4">
        <v>37749</v>
      </c>
      <c r="I1310" s="4"/>
      <c r="J1310" s="4"/>
      <c r="K1310" s="4"/>
      <c r="L1310" s="6">
        <f t="shared" si="20"/>
        <v>1.87289729529259</v>
      </c>
      <c r="M1310" s="4"/>
    </row>
    <row r="1311" spans="1:13">
      <c r="A1311" s="3">
        <v>45834</v>
      </c>
      <c r="B1311" s="4" t="s">
        <v>7</v>
      </c>
      <c r="C1311" s="4" t="s">
        <v>26</v>
      </c>
      <c r="D1311" s="4" t="s">
        <v>29</v>
      </c>
      <c r="E1311" s="4">
        <v>1</v>
      </c>
      <c r="F1311" s="4">
        <v>13020</v>
      </c>
      <c r="G1311" s="4">
        <v>13020</v>
      </c>
      <c r="H1311" s="4">
        <v>157785</v>
      </c>
      <c r="I1311" s="4"/>
      <c r="J1311" s="4"/>
      <c r="K1311" s="4"/>
      <c r="L1311" s="6">
        <f t="shared" si="20"/>
        <v>0.0825173495579428</v>
      </c>
      <c r="M1311" s="4"/>
    </row>
    <row r="1312" spans="1:13">
      <c r="A1312" s="3">
        <v>45660</v>
      </c>
      <c r="B1312" s="4" t="s">
        <v>3</v>
      </c>
      <c r="C1312" s="4" t="s">
        <v>24</v>
      </c>
      <c r="D1312" s="4" t="s">
        <v>29</v>
      </c>
      <c r="E1312" s="4">
        <v>9</v>
      </c>
      <c r="F1312" s="4">
        <v>47432</v>
      </c>
      <c r="G1312" s="4">
        <v>426888</v>
      </c>
      <c r="H1312" s="4">
        <v>60395</v>
      </c>
      <c r="I1312" s="4"/>
      <c r="J1312" s="4"/>
      <c r="K1312" s="4"/>
      <c r="L1312" s="6">
        <f t="shared" si="20"/>
        <v>7.06826724066562</v>
      </c>
      <c r="M1312" s="4"/>
    </row>
    <row r="1313" spans="1:13">
      <c r="A1313" s="3">
        <v>45713</v>
      </c>
      <c r="B1313" s="4" t="s">
        <v>5</v>
      </c>
      <c r="C1313" s="4" t="s">
        <v>24</v>
      </c>
      <c r="D1313" s="4" t="s">
        <v>31</v>
      </c>
      <c r="E1313" s="4">
        <v>2</v>
      </c>
      <c r="F1313" s="4">
        <v>30064</v>
      </c>
      <c r="G1313" s="4">
        <v>60128</v>
      </c>
      <c r="H1313" s="4">
        <v>198318</v>
      </c>
      <c r="I1313" s="4"/>
      <c r="J1313" s="4"/>
      <c r="K1313" s="4"/>
      <c r="L1313" s="6">
        <f t="shared" si="20"/>
        <v>0.303189826440363</v>
      </c>
      <c r="M1313" s="4"/>
    </row>
    <row r="1314" spans="1:13">
      <c r="A1314" s="3">
        <v>45704</v>
      </c>
      <c r="B1314" s="4" t="s">
        <v>3</v>
      </c>
      <c r="C1314" s="4" t="s">
        <v>28</v>
      </c>
      <c r="D1314" s="4" t="s">
        <v>32</v>
      </c>
      <c r="E1314" s="4">
        <v>2</v>
      </c>
      <c r="F1314" s="4">
        <v>44445</v>
      </c>
      <c r="G1314" s="4">
        <v>88890</v>
      </c>
      <c r="H1314" s="4">
        <v>63877</v>
      </c>
      <c r="I1314" s="4"/>
      <c r="J1314" s="4"/>
      <c r="K1314" s="4"/>
      <c r="L1314" s="6">
        <f t="shared" si="20"/>
        <v>1.39158069414656</v>
      </c>
      <c r="M1314" s="4"/>
    </row>
    <row r="1315" spans="1:13">
      <c r="A1315" s="3">
        <v>45768</v>
      </c>
      <c r="B1315" s="4" t="s">
        <v>6</v>
      </c>
      <c r="C1315" s="4" t="s">
        <v>28</v>
      </c>
      <c r="D1315" s="4" t="s">
        <v>23</v>
      </c>
      <c r="E1315" s="4">
        <v>8</v>
      </c>
      <c r="F1315" s="4">
        <v>31512</v>
      </c>
      <c r="G1315" s="4">
        <v>252096</v>
      </c>
      <c r="H1315" s="4">
        <v>44968</v>
      </c>
      <c r="I1315" s="4"/>
      <c r="J1315" s="4"/>
      <c r="K1315" s="4"/>
      <c r="L1315" s="6">
        <f t="shared" si="20"/>
        <v>5.60611990748977</v>
      </c>
      <c r="M1315" s="4"/>
    </row>
    <row r="1316" spans="1:13">
      <c r="A1316" s="3">
        <v>45805</v>
      </c>
      <c r="B1316" s="4" t="s">
        <v>7</v>
      </c>
      <c r="C1316" s="4" t="s">
        <v>24</v>
      </c>
      <c r="D1316" s="4" t="s">
        <v>32</v>
      </c>
      <c r="E1316" s="4">
        <v>2</v>
      </c>
      <c r="F1316" s="4">
        <v>25904</v>
      </c>
      <c r="G1316" s="4">
        <v>51808</v>
      </c>
      <c r="H1316" s="4">
        <v>89926</v>
      </c>
      <c r="I1316" s="4"/>
      <c r="J1316" s="4"/>
      <c r="K1316" s="4"/>
      <c r="L1316" s="6">
        <f t="shared" si="20"/>
        <v>0.576118141583079</v>
      </c>
      <c r="M1316" s="4"/>
    </row>
    <row r="1317" spans="1:13">
      <c r="A1317" s="3">
        <v>45834</v>
      </c>
      <c r="B1317" s="4" t="s">
        <v>3</v>
      </c>
      <c r="C1317" s="4" t="s">
        <v>28</v>
      </c>
      <c r="D1317" s="4" t="s">
        <v>32</v>
      </c>
      <c r="E1317" s="4">
        <v>3</v>
      </c>
      <c r="F1317" s="4">
        <v>17596</v>
      </c>
      <c r="G1317" s="4">
        <v>52788</v>
      </c>
      <c r="H1317" s="4">
        <v>55039</v>
      </c>
      <c r="I1317" s="4"/>
      <c r="J1317" s="4"/>
      <c r="K1317" s="4"/>
      <c r="L1317" s="6">
        <f t="shared" si="20"/>
        <v>0.959101727865695</v>
      </c>
      <c r="M1317" s="4"/>
    </row>
    <row r="1318" spans="1:13">
      <c r="A1318" s="3">
        <v>45669</v>
      </c>
      <c r="B1318" s="4" t="s">
        <v>6</v>
      </c>
      <c r="C1318" s="4" t="s">
        <v>26</v>
      </c>
      <c r="D1318" s="4" t="s">
        <v>31</v>
      </c>
      <c r="E1318" s="4">
        <v>5</v>
      </c>
      <c r="F1318" s="4">
        <v>8538</v>
      </c>
      <c r="G1318" s="4">
        <v>42690</v>
      </c>
      <c r="H1318" s="4">
        <v>46095</v>
      </c>
      <c r="I1318" s="4"/>
      <c r="J1318" s="4"/>
      <c r="K1318" s="4"/>
      <c r="L1318" s="6">
        <f t="shared" si="20"/>
        <v>0.926130816791409</v>
      </c>
      <c r="M1318" s="4"/>
    </row>
    <row r="1319" spans="1:13">
      <c r="A1319" s="3">
        <v>45681</v>
      </c>
      <c r="B1319" s="4" t="s">
        <v>7</v>
      </c>
      <c r="C1319" s="4" t="s">
        <v>24</v>
      </c>
      <c r="D1319" s="4" t="s">
        <v>30</v>
      </c>
      <c r="E1319" s="4">
        <v>2</v>
      </c>
      <c r="F1319" s="4">
        <v>34301</v>
      </c>
      <c r="G1319" s="4">
        <v>68602</v>
      </c>
      <c r="H1319" s="4">
        <v>39646</v>
      </c>
      <c r="I1319" s="4"/>
      <c r="J1319" s="4"/>
      <c r="K1319" s="4"/>
      <c r="L1319" s="6">
        <f t="shared" si="20"/>
        <v>1.73036371891237</v>
      </c>
      <c r="M1319" s="4"/>
    </row>
    <row r="1320" spans="1:13">
      <c r="A1320" s="3">
        <v>45826</v>
      </c>
      <c r="B1320" s="4" t="s">
        <v>5</v>
      </c>
      <c r="C1320" s="4" t="s">
        <v>22</v>
      </c>
      <c r="D1320" s="4" t="s">
        <v>29</v>
      </c>
      <c r="E1320" s="4">
        <v>3</v>
      </c>
      <c r="F1320" s="4">
        <v>17598</v>
      </c>
      <c r="G1320" s="4">
        <v>52794</v>
      </c>
      <c r="H1320" s="4">
        <v>38126</v>
      </c>
      <c r="I1320" s="4"/>
      <c r="J1320" s="4"/>
      <c r="K1320" s="4"/>
      <c r="L1320" s="6">
        <f t="shared" si="20"/>
        <v>1.38472433509941</v>
      </c>
      <c r="M1320" s="4"/>
    </row>
    <row r="1321" spans="1:13">
      <c r="A1321" s="3">
        <v>45749</v>
      </c>
      <c r="B1321" s="4" t="s">
        <v>6</v>
      </c>
      <c r="C1321" s="4" t="s">
        <v>22</v>
      </c>
      <c r="D1321" s="4" t="s">
        <v>32</v>
      </c>
      <c r="E1321" s="4">
        <v>6</v>
      </c>
      <c r="F1321" s="4">
        <v>45166</v>
      </c>
      <c r="G1321" s="4">
        <v>270996</v>
      </c>
      <c r="H1321" s="4">
        <v>7134</v>
      </c>
      <c r="I1321" s="4"/>
      <c r="J1321" s="4"/>
      <c r="K1321" s="4"/>
      <c r="L1321" s="6">
        <f t="shared" si="20"/>
        <v>37.986543313709</v>
      </c>
      <c r="M1321" s="4"/>
    </row>
    <row r="1322" spans="1:13">
      <c r="A1322" s="3">
        <v>45805</v>
      </c>
      <c r="B1322" s="4" t="s">
        <v>6</v>
      </c>
      <c r="C1322" s="4" t="s">
        <v>22</v>
      </c>
      <c r="D1322" s="4" t="s">
        <v>30</v>
      </c>
      <c r="E1322" s="4">
        <v>7</v>
      </c>
      <c r="F1322" s="4">
        <v>6215</v>
      </c>
      <c r="G1322" s="4">
        <v>43505</v>
      </c>
      <c r="H1322" s="4">
        <v>199797</v>
      </c>
      <c r="I1322" s="4"/>
      <c r="J1322" s="4"/>
      <c r="K1322" s="4"/>
      <c r="L1322" s="6">
        <f t="shared" si="20"/>
        <v>0.217746012202385</v>
      </c>
      <c r="M1322" s="4"/>
    </row>
    <row r="1323" spans="1:13">
      <c r="A1323" s="3">
        <v>45678</v>
      </c>
      <c r="B1323" s="4" t="s">
        <v>3</v>
      </c>
      <c r="C1323" s="4" t="s">
        <v>22</v>
      </c>
      <c r="D1323" s="4" t="s">
        <v>29</v>
      </c>
      <c r="E1323" s="4">
        <v>6</v>
      </c>
      <c r="F1323" s="4">
        <v>30755</v>
      </c>
      <c r="G1323" s="4">
        <v>184530</v>
      </c>
      <c r="H1323" s="4">
        <v>149092</v>
      </c>
      <c r="I1323" s="4"/>
      <c r="J1323" s="4"/>
      <c r="K1323" s="4"/>
      <c r="L1323" s="6">
        <f t="shared" si="20"/>
        <v>1.23769216322807</v>
      </c>
      <c r="M1323" s="4"/>
    </row>
    <row r="1324" spans="1:13">
      <c r="A1324" s="3">
        <v>45804</v>
      </c>
      <c r="B1324" s="4" t="s">
        <v>6</v>
      </c>
      <c r="C1324" s="4" t="s">
        <v>26</v>
      </c>
      <c r="D1324" s="4" t="s">
        <v>31</v>
      </c>
      <c r="E1324" s="4">
        <v>6</v>
      </c>
      <c r="F1324" s="4">
        <v>11715</v>
      </c>
      <c r="G1324" s="4">
        <v>70290</v>
      </c>
      <c r="H1324" s="4">
        <v>47366</v>
      </c>
      <c r="I1324" s="4"/>
      <c r="J1324" s="4"/>
      <c r="K1324" s="4"/>
      <c r="L1324" s="6">
        <f t="shared" si="20"/>
        <v>1.48397584765444</v>
      </c>
      <c r="M1324" s="4"/>
    </row>
    <row r="1325" spans="1:13">
      <c r="A1325" s="3">
        <v>45662</v>
      </c>
      <c r="B1325" s="4" t="s">
        <v>3</v>
      </c>
      <c r="C1325" s="4" t="s">
        <v>26</v>
      </c>
      <c r="D1325" s="4" t="s">
        <v>30</v>
      </c>
      <c r="E1325" s="4">
        <v>6</v>
      </c>
      <c r="F1325" s="4">
        <v>49686</v>
      </c>
      <c r="G1325" s="4">
        <v>298116</v>
      </c>
      <c r="H1325" s="4">
        <v>199699</v>
      </c>
      <c r="I1325" s="4"/>
      <c r="J1325" s="4"/>
      <c r="K1325" s="4"/>
      <c r="L1325" s="6">
        <f t="shared" si="20"/>
        <v>1.49282670418981</v>
      </c>
      <c r="M1325" s="4"/>
    </row>
    <row r="1326" spans="1:13">
      <c r="A1326" s="3">
        <v>45726</v>
      </c>
      <c r="B1326" s="4" t="s">
        <v>6</v>
      </c>
      <c r="C1326" s="4" t="s">
        <v>24</v>
      </c>
      <c r="D1326" s="4" t="s">
        <v>25</v>
      </c>
      <c r="E1326" s="4">
        <v>4</v>
      </c>
      <c r="F1326" s="4">
        <v>43797</v>
      </c>
      <c r="G1326" s="4">
        <v>175188</v>
      </c>
      <c r="H1326" s="4">
        <v>74766</v>
      </c>
      <c r="I1326" s="4"/>
      <c r="J1326" s="4"/>
      <c r="K1326" s="4"/>
      <c r="L1326" s="6">
        <f t="shared" si="20"/>
        <v>2.34315062996549</v>
      </c>
      <c r="M1326" s="4"/>
    </row>
    <row r="1327" spans="1:13">
      <c r="A1327" s="3">
        <v>45704</v>
      </c>
      <c r="B1327" s="4" t="s">
        <v>4</v>
      </c>
      <c r="C1327" s="4" t="s">
        <v>22</v>
      </c>
      <c r="D1327" s="4" t="s">
        <v>27</v>
      </c>
      <c r="E1327" s="4">
        <v>9</v>
      </c>
      <c r="F1327" s="4">
        <v>12649</v>
      </c>
      <c r="G1327" s="4">
        <v>113841</v>
      </c>
      <c r="H1327" s="4">
        <v>157065</v>
      </c>
      <c r="I1327" s="4"/>
      <c r="J1327" s="4"/>
      <c r="K1327" s="4"/>
      <c r="L1327" s="6">
        <f t="shared" si="20"/>
        <v>0.724801833635756</v>
      </c>
      <c r="M1327" s="4"/>
    </row>
    <row r="1328" spans="1:13">
      <c r="A1328" s="3">
        <v>45832</v>
      </c>
      <c r="B1328" s="4" t="s">
        <v>5</v>
      </c>
      <c r="C1328" s="4" t="s">
        <v>26</v>
      </c>
      <c r="D1328" s="4" t="s">
        <v>33</v>
      </c>
      <c r="E1328" s="4">
        <v>9</v>
      </c>
      <c r="F1328" s="4">
        <v>7330</v>
      </c>
      <c r="G1328" s="4">
        <v>65970</v>
      </c>
      <c r="H1328" s="4">
        <v>82176</v>
      </c>
      <c r="I1328" s="4"/>
      <c r="J1328" s="4"/>
      <c r="K1328" s="4"/>
      <c r="L1328" s="6">
        <f t="shared" si="20"/>
        <v>0.802789135514019</v>
      </c>
      <c r="M1328" s="4"/>
    </row>
    <row r="1329" spans="1:13">
      <c r="A1329" s="3">
        <v>45804</v>
      </c>
      <c r="B1329" s="4" t="s">
        <v>4</v>
      </c>
      <c r="C1329" s="4" t="s">
        <v>26</v>
      </c>
      <c r="D1329" s="4" t="s">
        <v>30</v>
      </c>
      <c r="E1329" s="4">
        <v>6</v>
      </c>
      <c r="F1329" s="4">
        <v>36144</v>
      </c>
      <c r="G1329" s="4">
        <v>216864</v>
      </c>
      <c r="H1329" s="4">
        <v>127092</v>
      </c>
      <c r="I1329" s="4"/>
      <c r="J1329" s="4"/>
      <c r="K1329" s="4"/>
      <c r="L1329" s="6">
        <f t="shared" si="20"/>
        <v>1.70635445189312</v>
      </c>
      <c r="M1329" s="4"/>
    </row>
    <row r="1330" spans="1:13">
      <c r="A1330" s="3">
        <v>45658</v>
      </c>
      <c r="B1330" s="4" t="s">
        <v>7</v>
      </c>
      <c r="C1330" s="4" t="s">
        <v>22</v>
      </c>
      <c r="D1330" s="4" t="s">
        <v>31</v>
      </c>
      <c r="E1330" s="4">
        <v>2</v>
      </c>
      <c r="F1330" s="4">
        <v>40974</v>
      </c>
      <c r="G1330" s="4">
        <v>81948</v>
      </c>
      <c r="H1330" s="4">
        <v>41879</v>
      </c>
      <c r="I1330" s="4"/>
      <c r="J1330" s="4"/>
      <c r="K1330" s="4"/>
      <c r="L1330" s="6">
        <f t="shared" si="20"/>
        <v>1.95678024785692</v>
      </c>
      <c r="M1330" s="4"/>
    </row>
    <row r="1331" spans="1:13">
      <c r="A1331" s="3">
        <v>45804</v>
      </c>
      <c r="B1331" s="4" t="s">
        <v>5</v>
      </c>
      <c r="C1331" s="4" t="s">
        <v>24</v>
      </c>
      <c r="D1331" s="4" t="s">
        <v>33</v>
      </c>
      <c r="E1331" s="4">
        <v>3</v>
      </c>
      <c r="F1331" s="4">
        <v>48492</v>
      </c>
      <c r="G1331" s="4">
        <v>145476</v>
      </c>
      <c r="H1331" s="4">
        <v>40140</v>
      </c>
      <c r="I1331" s="4"/>
      <c r="J1331" s="4"/>
      <c r="K1331" s="4"/>
      <c r="L1331" s="6">
        <f t="shared" si="20"/>
        <v>3.62421524663677</v>
      </c>
      <c r="M1331" s="4"/>
    </row>
    <row r="1332" spans="1:13">
      <c r="A1332" s="3">
        <v>45822</v>
      </c>
      <c r="B1332" s="4" t="s">
        <v>5</v>
      </c>
      <c r="C1332" s="4" t="s">
        <v>22</v>
      </c>
      <c r="D1332" s="4" t="s">
        <v>30</v>
      </c>
      <c r="E1332" s="4">
        <v>1</v>
      </c>
      <c r="F1332" s="4">
        <v>32258</v>
      </c>
      <c r="G1332" s="4">
        <v>32258</v>
      </c>
      <c r="H1332" s="4">
        <v>140970</v>
      </c>
      <c r="I1332" s="4"/>
      <c r="J1332" s="4"/>
      <c r="K1332" s="4"/>
      <c r="L1332" s="6">
        <f t="shared" si="20"/>
        <v>0.228828828828829</v>
      </c>
      <c r="M1332" s="4"/>
    </row>
    <row r="1333" spans="1:13">
      <c r="A1333" s="3">
        <v>45773</v>
      </c>
      <c r="B1333" s="4" t="s">
        <v>4</v>
      </c>
      <c r="C1333" s="4" t="s">
        <v>26</v>
      </c>
      <c r="D1333" s="4" t="s">
        <v>31</v>
      </c>
      <c r="E1333" s="4">
        <v>4</v>
      </c>
      <c r="F1333" s="4">
        <v>10053</v>
      </c>
      <c r="G1333" s="4">
        <v>40212</v>
      </c>
      <c r="H1333" s="4">
        <v>18238</v>
      </c>
      <c r="I1333" s="4"/>
      <c r="J1333" s="4"/>
      <c r="K1333" s="4"/>
      <c r="L1333" s="6">
        <f t="shared" si="20"/>
        <v>2.20484702269986</v>
      </c>
      <c r="M1333" s="4"/>
    </row>
    <row r="1334" spans="1:13">
      <c r="A1334" s="3">
        <v>45715</v>
      </c>
      <c r="B1334" s="4" t="s">
        <v>6</v>
      </c>
      <c r="C1334" s="4" t="s">
        <v>26</v>
      </c>
      <c r="D1334" s="4" t="s">
        <v>32</v>
      </c>
      <c r="E1334" s="4">
        <v>4</v>
      </c>
      <c r="F1334" s="4">
        <v>37978</v>
      </c>
      <c r="G1334" s="4">
        <v>151912</v>
      </c>
      <c r="H1334" s="4">
        <v>177293</v>
      </c>
      <c r="I1334" s="4"/>
      <c r="J1334" s="4"/>
      <c r="K1334" s="4"/>
      <c r="L1334" s="6">
        <f t="shared" si="20"/>
        <v>0.856841499664397</v>
      </c>
      <c r="M1334" s="4"/>
    </row>
    <row r="1335" spans="1:13">
      <c r="A1335" s="3">
        <v>45691</v>
      </c>
      <c r="B1335" s="4" t="s">
        <v>3</v>
      </c>
      <c r="C1335" s="4" t="s">
        <v>28</v>
      </c>
      <c r="D1335" s="4" t="s">
        <v>32</v>
      </c>
      <c r="E1335" s="4">
        <v>7</v>
      </c>
      <c r="F1335" s="4">
        <v>44668</v>
      </c>
      <c r="G1335" s="4">
        <v>312676</v>
      </c>
      <c r="H1335" s="4">
        <v>193304</v>
      </c>
      <c r="I1335" s="4"/>
      <c r="J1335" s="4"/>
      <c r="K1335" s="4"/>
      <c r="L1335" s="6">
        <f t="shared" si="20"/>
        <v>1.61753507428713</v>
      </c>
      <c r="M1335" s="4"/>
    </row>
    <row r="1336" spans="1:13">
      <c r="A1336" s="3">
        <v>45711</v>
      </c>
      <c r="B1336" s="4" t="s">
        <v>8</v>
      </c>
      <c r="C1336" s="4" t="s">
        <v>28</v>
      </c>
      <c r="D1336" s="4" t="s">
        <v>27</v>
      </c>
      <c r="E1336" s="4">
        <v>1</v>
      </c>
      <c r="F1336" s="4">
        <v>587</v>
      </c>
      <c r="G1336" s="4">
        <v>587</v>
      </c>
      <c r="H1336" s="4">
        <v>99484</v>
      </c>
      <c r="I1336" s="4"/>
      <c r="J1336" s="4"/>
      <c r="K1336" s="4"/>
      <c r="L1336" s="6">
        <f t="shared" si="20"/>
        <v>0.00590044630292308</v>
      </c>
      <c r="M1336" s="4"/>
    </row>
    <row r="1337" spans="1:13">
      <c r="A1337" s="3">
        <v>45690</v>
      </c>
      <c r="B1337" s="4" t="s">
        <v>7</v>
      </c>
      <c r="C1337" s="4" t="s">
        <v>28</v>
      </c>
      <c r="D1337" s="4" t="s">
        <v>33</v>
      </c>
      <c r="E1337" s="4">
        <v>7</v>
      </c>
      <c r="F1337" s="4">
        <v>13841</v>
      </c>
      <c r="G1337" s="4">
        <v>96887</v>
      </c>
      <c r="H1337" s="4">
        <v>134769</v>
      </c>
      <c r="I1337" s="4"/>
      <c r="J1337" s="4"/>
      <c r="K1337" s="4"/>
      <c r="L1337" s="6">
        <f t="shared" si="20"/>
        <v>0.7189116191409</v>
      </c>
      <c r="M1337" s="4"/>
    </row>
    <row r="1338" spans="1:13">
      <c r="A1338" s="3">
        <v>45662</v>
      </c>
      <c r="B1338" s="4" t="s">
        <v>5</v>
      </c>
      <c r="C1338" s="4" t="s">
        <v>24</v>
      </c>
      <c r="D1338" s="4" t="s">
        <v>23</v>
      </c>
      <c r="E1338" s="4">
        <v>5</v>
      </c>
      <c r="F1338" s="4">
        <v>25111</v>
      </c>
      <c r="G1338" s="4">
        <v>125555</v>
      </c>
      <c r="H1338" s="4">
        <v>111516</v>
      </c>
      <c r="I1338" s="4"/>
      <c r="J1338" s="4"/>
      <c r="K1338" s="4"/>
      <c r="L1338" s="6">
        <f t="shared" si="20"/>
        <v>1.12589224864593</v>
      </c>
      <c r="M1338" s="4"/>
    </row>
    <row r="1339" spans="1:13">
      <c r="A1339" s="3">
        <v>45808</v>
      </c>
      <c r="B1339" s="4" t="s">
        <v>7</v>
      </c>
      <c r="C1339" s="4" t="s">
        <v>28</v>
      </c>
      <c r="D1339" s="4" t="s">
        <v>33</v>
      </c>
      <c r="E1339" s="4">
        <v>7</v>
      </c>
      <c r="F1339" s="4">
        <v>6377</v>
      </c>
      <c r="G1339" s="4">
        <v>44639</v>
      </c>
      <c r="H1339" s="4">
        <v>76289</v>
      </c>
      <c r="I1339" s="4"/>
      <c r="J1339" s="4"/>
      <c r="K1339" s="4"/>
      <c r="L1339" s="6">
        <f t="shared" si="20"/>
        <v>0.585130228473305</v>
      </c>
      <c r="M1339" s="4"/>
    </row>
    <row r="1340" spans="1:13">
      <c r="A1340" s="3">
        <v>45679</v>
      </c>
      <c r="B1340" s="4" t="s">
        <v>6</v>
      </c>
      <c r="C1340" s="4" t="s">
        <v>26</v>
      </c>
      <c r="D1340" s="4" t="s">
        <v>29</v>
      </c>
      <c r="E1340" s="4">
        <v>9</v>
      </c>
      <c r="F1340" s="4">
        <v>37570</v>
      </c>
      <c r="G1340" s="4">
        <v>338130</v>
      </c>
      <c r="H1340" s="4">
        <v>29174</v>
      </c>
      <c r="I1340" s="4"/>
      <c r="J1340" s="4"/>
      <c r="K1340" s="4"/>
      <c r="L1340" s="6">
        <f t="shared" si="20"/>
        <v>11.5901144855008</v>
      </c>
      <c r="M1340" s="4"/>
    </row>
    <row r="1341" spans="1:13">
      <c r="A1341" s="3">
        <v>45695</v>
      </c>
      <c r="B1341" s="4" t="s">
        <v>2</v>
      </c>
      <c r="C1341" s="4" t="s">
        <v>28</v>
      </c>
      <c r="D1341" s="4" t="s">
        <v>29</v>
      </c>
      <c r="E1341" s="4">
        <v>6</v>
      </c>
      <c r="F1341" s="4">
        <v>8284</v>
      </c>
      <c r="G1341" s="4">
        <v>49704</v>
      </c>
      <c r="H1341" s="4">
        <v>110585</v>
      </c>
      <c r="I1341" s="4"/>
      <c r="J1341" s="4"/>
      <c r="K1341" s="4"/>
      <c r="L1341" s="6">
        <f t="shared" si="20"/>
        <v>0.449464213048786</v>
      </c>
      <c r="M1341" s="4"/>
    </row>
    <row r="1342" spans="1:13">
      <c r="A1342" s="3">
        <v>45748</v>
      </c>
      <c r="B1342" s="4" t="s">
        <v>8</v>
      </c>
      <c r="C1342" s="4" t="s">
        <v>22</v>
      </c>
      <c r="D1342" s="4" t="s">
        <v>32</v>
      </c>
      <c r="E1342" s="4">
        <v>1</v>
      </c>
      <c r="F1342" s="4">
        <v>40911</v>
      </c>
      <c r="G1342" s="4">
        <v>40911</v>
      </c>
      <c r="H1342" s="4">
        <v>132478</v>
      </c>
      <c r="I1342" s="4"/>
      <c r="J1342" s="4"/>
      <c r="K1342" s="4"/>
      <c r="L1342" s="6">
        <f t="shared" si="20"/>
        <v>0.308813538851734</v>
      </c>
      <c r="M1342" s="4"/>
    </row>
    <row r="1343" spans="1:13">
      <c r="A1343" s="3">
        <v>45710</v>
      </c>
      <c r="B1343" s="4" t="s">
        <v>3</v>
      </c>
      <c r="C1343" s="4" t="s">
        <v>22</v>
      </c>
      <c r="D1343" s="4" t="s">
        <v>27</v>
      </c>
      <c r="E1343" s="4">
        <v>4</v>
      </c>
      <c r="F1343" s="4">
        <v>40178</v>
      </c>
      <c r="G1343" s="4">
        <v>160712</v>
      </c>
      <c r="H1343" s="4">
        <v>16069</v>
      </c>
      <c r="I1343" s="4"/>
      <c r="J1343" s="4"/>
      <c r="K1343" s="4"/>
      <c r="L1343" s="6">
        <f t="shared" si="20"/>
        <v>10.0013690957745</v>
      </c>
      <c r="M1343" s="4"/>
    </row>
    <row r="1344" spans="1:13">
      <c r="A1344" s="3">
        <v>45746</v>
      </c>
      <c r="B1344" s="4" t="s">
        <v>6</v>
      </c>
      <c r="C1344" s="4" t="s">
        <v>22</v>
      </c>
      <c r="D1344" s="4" t="s">
        <v>25</v>
      </c>
      <c r="E1344" s="4">
        <v>6</v>
      </c>
      <c r="F1344" s="4">
        <v>11025</v>
      </c>
      <c r="G1344" s="4">
        <v>66150</v>
      </c>
      <c r="H1344" s="4">
        <v>16925</v>
      </c>
      <c r="I1344" s="4"/>
      <c r="J1344" s="4"/>
      <c r="K1344" s="4"/>
      <c r="L1344" s="6">
        <f t="shared" si="20"/>
        <v>3.90841949778434</v>
      </c>
      <c r="M1344" s="4"/>
    </row>
    <row r="1345" spans="1:13">
      <c r="A1345" s="3">
        <v>45789</v>
      </c>
      <c r="B1345" s="4" t="s">
        <v>3</v>
      </c>
      <c r="C1345" s="4" t="s">
        <v>24</v>
      </c>
      <c r="D1345" s="4" t="s">
        <v>29</v>
      </c>
      <c r="E1345" s="4">
        <v>3</v>
      </c>
      <c r="F1345" s="4">
        <v>44280</v>
      </c>
      <c r="G1345" s="4">
        <v>132840</v>
      </c>
      <c r="H1345" s="4">
        <v>16155</v>
      </c>
      <c r="I1345" s="4"/>
      <c r="J1345" s="4"/>
      <c r="K1345" s="4"/>
      <c r="L1345" s="6">
        <f t="shared" si="20"/>
        <v>8.22284122562674</v>
      </c>
      <c r="M1345" s="4"/>
    </row>
    <row r="1346" spans="1:13">
      <c r="A1346" s="3">
        <v>45825</v>
      </c>
      <c r="B1346" s="4" t="s">
        <v>4</v>
      </c>
      <c r="C1346" s="4" t="s">
        <v>24</v>
      </c>
      <c r="D1346" s="4" t="s">
        <v>30</v>
      </c>
      <c r="E1346" s="4">
        <v>6</v>
      </c>
      <c r="F1346" s="4">
        <v>43979</v>
      </c>
      <c r="G1346" s="4">
        <v>263874</v>
      </c>
      <c r="H1346" s="4">
        <v>13230</v>
      </c>
      <c r="I1346" s="4"/>
      <c r="J1346" s="4"/>
      <c r="K1346" s="4"/>
      <c r="L1346" s="6">
        <f t="shared" si="20"/>
        <v>19.9451247165533</v>
      </c>
      <c r="M1346" s="4"/>
    </row>
    <row r="1347" spans="1:13">
      <c r="A1347" s="3">
        <v>45804</v>
      </c>
      <c r="B1347" s="4" t="s">
        <v>4</v>
      </c>
      <c r="C1347" s="4" t="s">
        <v>24</v>
      </c>
      <c r="D1347" s="4" t="s">
        <v>31</v>
      </c>
      <c r="E1347" s="4">
        <v>6</v>
      </c>
      <c r="F1347" s="4">
        <v>18967</v>
      </c>
      <c r="G1347" s="4">
        <v>113802</v>
      </c>
      <c r="H1347" s="4">
        <v>37911</v>
      </c>
      <c r="I1347" s="4"/>
      <c r="J1347" s="4"/>
      <c r="K1347" s="4"/>
      <c r="L1347" s="6">
        <f t="shared" ref="L1347:L1410" si="21">G1347/H1347</f>
        <v>3.00182005222759</v>
      </c>
      <c r="M1347" s="4"/>
    </row>
    <row r="1348" spans="1:13">
      <c r="A1348" s="3">
        <v>45738</v>
      </c>
      <c r="B1348" s="4" t="s">
        <v>5</v>
      </c>
      <c r="C1348" s="4" t="s">
        <v>22</v>
      </c>
      <c r="D1348" s="4" t="s">
        <v>31</v>
      </c>
      <c r="E1348" s="4">
        <v>9</v>
      </c>
      <c r="F1348" s="4">
        <v>18222</v>
      </c>
      <c r="G1348" s="4">
        <v>163998</v>
      </c>
      <c r="H1348" s="4">
        <v>56801</v>
      </c>
      <c r="I1348" s="4"/>
      <c r="J1348" s="4"/>
      <c r="K1348" s="4"/>
      <c r="L1348" s="6">
        <f t="shared" si="21"/>
        <v>2.88723790074118</v>
      </c>
      <c r="M1348" s="4"/>
    </row>
    <row r="1349" spans="1:13">
      <c r="A1349" s="3">
        <v>45798</v>
      </c>
      <c r="B1349" s="4" t="s">
        <v>6</v>
      </c>
      <c r="C1349" s="4" t="s">
        <v>22</v>
      </c>
      <c r="D1349" s="4" t="s">
        <v>32</v>
      </c>
      <c r="E1349" s="4">
        <v>4</v>
      </c>
      <c r="F1349" s="4">
        <v>38901</v>
      </c>
      <c r="G1349" s="4">
        <v>155604</v>
      </c>
      <c r="H1349" s="4">
        <v>104827</v>
      </c>
      <c r="I1349" s="4"/>
      <c r="J1349" s="4"/>
      <c r="K1349" s="4"/>
      <c r="L1349" s="6">
        <f t="shared" si="21"/>
        <v>1.484388564015</v>
      </c>
      <c r="M1349" s="4"/>
    </row>
    <row r="1350" spans="1:13">
      <c r="A1350" s="3">
        <v>45714</v>
      </c>
      <c r="B1350" s="4" t="s">
        <v>2</v>
      </c>
      <c r="C1350" s="4" t="s">
        <v>28</v>
      </c>
      <c r="D1350" s="4" t="s">
        <v>25</v>
      </c>
      <c r="E1350" s="4">
        <v>10</v>
      </c>
      <c r="F1350" s="4">
        <v>44401</v>
      </c>
      <c r="G1350" s="4">
        <v>444010</v>
      </c>
      <c r="H1350" s="4">
        <v>168307</v>
      </c>
      <c r="I1350" s="4"/>
      <c r="J1350" s="4"/>
      <c r="K1350" s="4"/>
      <c r="L1350" s="6">
        <f t="shared" si="21"/>
        <v>2.63809586054056</v>
      </c>
      <c r="M1350" s="4"/>
    </row>
    <row r="1351" spans="1:13">
      <c r="A1351" s="3">
        <v>45835</v>
      </c>
      <c r="B1351" s="4" t="s">
        <v>2</v>
      </c>
      <c r="C1351" s="4" t="s">
        <v>28</v>
      </c>
      <c r="D1351" s="4" t="s">
        <v>32</v>
      </c>
      <c r="E1351" s="4">
        <v>2</v>
      </c>
      <c r="F1351" s="4">
        <v>14869</v>
      </c>
      <c r="G1351" s="4">
        <v>29738</v>
      </c>
      <c r="H1351" s="4">
        <v>151439</v>
      </c>
      <c r="I1351" s="4"/>
      <c r="J1351" s="4"/>
      <c r="K1351" s="4"/>
      <c r="L1351" s="6">
        <f t="shared" si="21"/>
        <v>0.196369495308342</v>
      </c>
      <c r="M1351" s="4"/>
    </row>
    <row r="1352" spans="1:13">
      <c r="A1352" s="3">
        <v>45731</v>
      </c>
      <c r="B1352" s="4" t="s">
        <v>3</v>
      </c>
      <c r="C1352" s="4" t="s">
        <v>24</v>
      </c>
      <c r="D1352" s="4" t="s">
        <v>33</v>
      </c>
      <c r="E1352" s="4">
        <v>6</v>
      </c>
      <c r="F1352" s="4">
        <v>31981</v>
      </c>
      <c r="G1352" s="4">
        <v>191886</v>
      </c>
      <c r="H1352" s="4">
        <v>128600</v>
      </c>
      <c r="I1352" s="4"/>
      <c r="J1352" s="4"/>
      <c r="K1352" s="4"/>
      <c r="L1352" s="6">
        <f t="shared" si="21"/>
        <v>1.49211508553655</v>
      </c>
      <c r="M1352" s="4"/>
    </row>
    <row r="1353" spans="1:13">
      <c r="A1353" s="3">
        <v>45737</v>
      </c>
      <c r="B1353" s="4" t="s">
        <v>6</v>
      </c>
      <c r="C1353" s="4" t="s">
        <v>24</v>
      </c>
      <c r="D1353" s="4" t="s">
        <v>30</v>
      </c>
      <c r="E1353" s="4">
        <v>10</v>
      </c>
      <c r="F1353" s="4">
        <v>678</v>
      </c>
      <c r="G1353" s="4">
        <v>6780</v>
      </c>
      <c r="H1353" s="4">
        <v>113507</v>
      </c>
      <c r="I1353" s="4"/>
      <c r="J1353" s="4"/>
      <c r="K1353" s="4"/>
      <c r="L1353" s="6">
        <f t="shared" si="21"/>
        <v>0.0597319989075564</v>
      </c>
      <c r="M1353" s="4"/>
    </row>
    <row r="1354" spans="1:13">
      <c r="A1354" s="3">
        <v>45666</v>
      </c>
      <c r="B1354" s="4" t="s">
        <v>6</v>
      </c>
      <c r="C1354" s="4" t="s">
        <v>26</v>
      </c>
      <c r="D1354" s="4" t="s">
        <v>32</v>
      </c>
      <c r="E1354" s="4">
        <v>1</v>
      </c>
      <c r="F1354" s="4">
        <v>12036</v>
      </c>
      <c r="G1354" s="4">
        <v>12036</v>
      </c>
      <c r="H1354" s="4">
        <v>75496</v>
      </c>
      <c r="I1354" s="4"/>
      <c r="J1354" s="4"/>
      <c r="K1354" s="4"/>
      <c r="L1354" s="6">
        <f t="shared" si="21"/>
        <v>0.159425664935891</v>
      </c>
      <c r="M1354" s="4"/>
    </row>
    <row r="1355" spans="1:13">
      <c r="A1355" s="3">
        <v>45768</v>
      </c>
      <c r="B1355" s="4" t="s">
        <v>4</v>
      </c>
      <c r="C1355" s="4" t="s">
        <v>28</v>
      </c>
      <c r="D1355" s="4" t="s">
        <v>23</v>
      </c>
      <c r="E1355" s="4">
        <v>6</v>
      </c>
      <c r="F1355" s="4">
        <v>2083</v>
      </c>
      <c r="G1355" s="4">
        <v>12498</v>
      </c>
      <c r="H1355" s="4">
        <v>120828</v>
      </c>
      <c r="I1355" s="4"/>
      <c r="J1355" s="4"/>
      <c r="K1355" s="4"/>
      <c r="L1355" s="6">
        <f t="shared" si="21"/>
        <v>0.103436289601748</v>
      </c>
      <c r="M1355" s="4"/>
    </row>
    <row r="1356" spans="1:13">
      <c r="A1356" s="3">
        <v>45742</v>
      </c>
      <c r="B1356" s="4" t="s">
        <v>4</v>
      </c>
      <c r="C1356" s="4" t="s">
        <v>28</v>
      </c>
      <c r="D1356" s="4" t="s">
        <v>31</v>
      </c>
      <c r="E1356" s="4">
        <v>2</v>
      </c>
      <c r="F1356" s="4">
        <v>20286</v>
      </c>
      <c r="G1356" s="4">
        <v>40572</v>
      </c>
      <c r="H1356" s="4">
        <v>110088</v>
      </c>
      <c r="I1356" s="4"/>
      <c r="J1356" s="4"/>
      <c r="K1356" s="4"/>
      <c r="L1356" s="6">
        <f t="shared" si="21"/>
        <v>0.368541530412034</v>
      </c>
      <c r="M1356" s="4"/>
    </row>
    <row r="1357" spans="1:13">
      <c r="A1357" s="3">
        <v>45811</v>
      </c>
      <c r="B1357" s="4" t="s">
        <v>8</v>
      </c>
      <c r="C1357" s="4" t="s">
        <v>24</v>
      </c>
      <c r="D1357" s="4" t="s">
        <v>31</v>
      </c>
      <c r="E1357" s="4">
        <v>3</v>
      </c>
      <c r="F1357" s="4">
        <v>34843</v>
      </c>
      <c r="G1357" s="4">
        <v>104529</v>
      </c>
      <c r="H1357" s="4">
        <v>21093</v>
      </c>
      <c r="I1357" s="4"/>
      <c r="J1357" s="4"/>
      <c r="K1357" s="4"/>
      <c r="L1357" s="6">
        <f t="shared" si="21"/>
        <v>4.95562508889205</v>
      </c>
      <c r="M1357" s="4"/>
    </row>
    <row r="1358" spans="1:13">
      <c r="A1358" s="3">
        <v>45710</v>
      </c>
      <c r="B1358" s="4" t="s">
        <v>7</v>
      </c>
      <c r="C1358" s="4" t="s">
        <v>22</v>
      </c>
      <c r="D1358" s="4" t="s">
        <v>25</v>
      </c>
      <c r="E1358" s="4">
        <v>5</v>
      </c>
      <c r="F1358" s="4">
        <v>16949</v>
      </c>
      <c r="G1358" s="4">
        <v>84745</v>
      </c>
      <c r="H1358" s="4">
        <v>33947</v>
      </c>
      <c r="I1358" s="4"/>
      <c r="J1358" s="4"/>
      <c r="K1358" s="4"/>
      <c r="L1358" s="6">
        <f t="shared" si="21"/>
        <v>2.49639143370548</v>
      </c>
      <c r="M1358" s="4"/>
    </row>
    <row r="1359" spans="1:13">
      <c r="A1359" s="3">
        <v>45664</v>
      </c>
      <c r="B1359" s="4" t="s">
        <v>6</v>
      </c>
      <c r="C1359" s="4" t="s">
        <v>22</v>
      </c>
      <c r="D1359" s="4" t="s">
        <v>30</v>
      </c>
      <c r="E1359" s="4">
        <v>4</v>
      </c>
      <c r="F1359" s="4">
        <v>7137</v>
      </c>
      <c r="G1359" s="4">
        <v>28548</v>
      </c>
      <c r="H1359" s="4">
        <v>121631</v>
      </c>
      <c r="I1359" s="4"/>
      <c r="J1359" s="4"/>
      <c r="K1359" s="4"/>
      <c r="L1359" s="6">
        <f t="shared" si="21"/>
        <v>0.234709901258725</v>
      </c>
      <c r="M1359" s="4"/>
    </row>
    <row r="1360" spans="1:13">
      <c r="A1360" s="3">
        <v>45659</v>
      </c>
      <c r="B1360" s="4" t="s">
        <v>8</v>
      </c>
      <c r="C1360" s="4" t="s">
        <v>24</v>
      </c>
      <c r="D1360" s="4" t="s">
        <v>32</v>
      </c>
      <c r="E1360" s="4">
        <v>3</v>
      </c>
      <c r="F1360" s="4">
        <v>35966</v>
      </c>
      <c r="G1360" s="4">
        <v>107898</v>
      </c>
      <c r="H1360" s="4">
        <v>108559</v>
      </c>
      <c r="I1360" s="4"/>
      <c r="J1360" s="4"/>
      <c r="K1360" s="4"/>
      <c r="L1360" s="6">
        <f t="shared" si="21"/>
        <v>0.993911145091609</v>
      </c>
      <c r="M1360" s="4"/>
    </row>
    <row r="1361" spans="1:13">
      <c r="A1361" s="3">
        <v>45789</v>
      </c>
      <c r="B1361" s="4" t="s">
        <v>5</v>
      </c>
      <c r="C1361" s="4" t="s">
        <v>24</v>
      </c>
      <c r="D1361" s="4" t="s">
        <v>29</v>
      </c>
      <c r="E1361" s="4">
        <v>10</v>
      </c>
      <c r="F1361" s="4">
        <v>11729</v>
      </c>
      <c r="G1361" s="4">
        <v>117290</v>
      </c>
      <c r="H1361" s="4">
        <v>179680</v>
      </c>
      <c r="I1361" s="4"/>
      <c r="J1361" s="4"/>
      <c r="K1361" s="4"/>
      <c r="L1361" s="6">
        <f t="shared" si="21"/>
        <v>0.652771593944791</v>
      </c>
      <c r="M1361" s="4"/>
    </row>
    <row r="1362" spans="1:13">
      <c r="A1362" s="3">
        <v>45832</v>
      </c>
      <c r="B1362" s="4" t="s">
        <v>2</v>
      </c>
      <c r="C1362" s="4" t="s">
        <v>22</v>
      </c>
      <c r="D1362" s="4" t="s">
        <v>27</v>
      </c>
      <c r="E1362" s="4">
        <v>9</v>
      </c>
      <c r="F1362" s="4">
        <v>32869</v>
      </c>
      <c r="G1362" s="4">
        <v>295821</v>
      </c>
      <c r="H1362" s="4">
        <v>107744</v>
      </c>
      <c r="I1362" s="4"/>
      <c r="J1362" s="4"/>
      <c r="K1362" s="4"/>
      <c r="L1362" s="6">
        <f t="shared" si="21"/>
        <v>2.7455914018414</v>
      </c>
      <c r="M1362" s="4"/>
    </row>
    <row r="1363" spans="1:13">
      <c r="A1363" s="3">
        <v>45713</v>
      </c>
      <c r="B1363" s="4" t="s">
        <v>8</v>
      </c>
      <c r="C1363" s="4" t="s">
        <v>22</v>
      </c>
      <c r="D1363" s="4" t="s">
        <v>29</v>
      </c>
      <c r="E1363" s="4">
        <v>6</v>
      </c>
      <c r="F1363" s="4">
        <v>37141</v>
      </c>
      <c r="G1363" s="4">
        <v>222846</v>
      </c>
      <c r="H1363" s="4">
        <v>23251</v>
      </c>
      <c r="I1363" s="4"/>
      <c r="J1363" s="4"/>
      <c r="K1363" s="4"/>
      <c r="L1363" s="6">
        <f t="shared" si="21"/>
        <v>9.58436196292633</v>
      </c>
      <c r="M1363" s="4"/>
    </row>
    <row r="1364" spans="1:13">
      <c r="A1364" s="3">
        <v>45733</v>
      </c>
      <c r="B1364" s="4" t="s">
        <v>6</v>
      </c>
      <c r="C1364" s="4" t="s">
        <v>24</v>
      </c>
      <c r="D1364" s="4" t="s">
        <v>30</v>
      </c>
      <c r="E1364" s="4">
        <v>5</v>
      </c>
      <c r="F1364" s="4">
        <v>36150</v>
      </c>
      <c r="G1364" s="4">
        <v>180750</v>
      </c>
      <c r="H1364" s="4">
        <v>51805</v>
      </c>
      <c r="I1364" s="4"/>
      <c r="J1364" s="4"/>
      <c r="K1364" s="4"/>
      <c r="L1364" s="6">
        <f t="shared" si="21"/>
        <v>3.48904545893254</v>
      </c>
      <c r="M1364" s="4"/>
    </row>
    <row r="1365" spans="1:13">
      <c r="A1365" s="3">
        <v>45777</v>
      </c>
      <c r="B1365" s="4" t="s">
        <v>2</v>
      </c>
      <c r="C1365" s="4" t="s">
        <v>26</v>
      </c>
      <c r="D1365" s="4" t="s">
        <v>25</v>
      </c>
      <c r="E1365" s="4">
        <v>8</v>
      </c>
      <c r="F1365" s="4">
        <v>16969</v>
      </c>
      <c r="G1365" s="4">
        <v>135752</v>
      </c>
      <c r="H1365" s="4">
        <v>168764</v>
      </c>
      <c r="I1365" s="4"/>
      <c r="J1365" s="4"/>
      <c r="K1365" s="4"/>
      <c r="L1365" s="6">
        <f t="shared" si="21"/>
        <v>0.804389561754877</v>
      </c>
      <c r="M1365" s="4"/>
    </row>
    <row r="1366" spans="1:13">
      <c r="A1366" s="3">
        <v>45836</v>
      </c>
      <c r="B1366" s="4" t="s">
        <v>7</v>
      </c>
      <c r="C1366" s="4" t="s">
        <v>24</v>
      </c>
      <c r="D1366" s="4" t="s">
        <v>32</v>
      </c>
      <c r="E1366" s="4">
        <v>6</v>
      </c>
      <c r="F1366" s="4">
        <v>47867</v>
      </c>
      <c r="G1366" s="4">
        <v>287202</v>
      </c>
      <c r="H1366" s="4">
        <v>55587</v>
      </c>
      <c r="I1366" s="4"/>
      <c r="J1366" s="4"/>
      <c r="K1366" s="4"/>
      <c r="L1366" s="6">
        <f t="shared" si="21"/>
        <v>5.16671164121107</v>
      </c>
      <c r="M1366" s="4"/>
    </row>
    <row r="1367" spans="1:13">
      <c r="A1367" s="3">
        <v>45726</v>
      </c>
      <c r="B1367" s="4" t="s">
        <v>6</v>
      </c>
      <c r="C1367" s="4" t="s">
        <v>24</v>
      </c>
      <c r="D1367" s="4" t="s">
        <v>33</v>
      </c>
      <c r="E1367" s="4">
        <v>7</v>
      </c>
      <c r="F1367" s="4">
        <v>24312</v>
      </c>
      <c r="G1367" s="4">
        <v>170184</v>
      </c>
      <c r="H1367" s="4">
        <v>185362</v>
      </c>
      <c r="I1367" s="4"/>
      <c r="J1367" s="4"/>
      <c r="K1367" s="4"/>
      <c r="L1367" s="6">
        <f t="shared" si="21"/>
        <v>0.918116981905676</v>
      </c>
      <c r="M1367" s="4"/>
    </row>
    <row r="1368" spans="1:13">
      <c r="A1368" s="3">
        <v>45672</v>
      </c>
      <c r="B1368" s="4" t="s">
        <v>2</v>
      </c>
      <c r="C1368" s="4" t="s">
        <v>24</v>
      </c>
      <c r="D1368" s="4" t="s">
        <v>23</v>
      </c>
      <c r="E1368" s="4">
        <v>7</v>
      </c>
      <c r="F1368" s="4">
        <v>14275</v>
      </c>
      <c r="G1368" s="4">
        <v>99925</v>
      </c>
      <c r="H1368" s="4">
        <v>185004</v>
      </c>
      <c r="I1368" s="4"/>
      <c r="J1368" s="4"/>
      <c r="K1368" s="4"/>
      <c r="L1368" s="6">
        <f t="shared" si="21"/>
        <v>0.540123456790123</v>
      </c>
      <c r="M1368" s="4"/>
    </row>
    <row r="1369" spans="1:13">
      <c r="A1369" s="3">
        <v>45674</v>
      </c>
      <c r="B1369" s="4" t="s">
        <v>6</v>
      </c>
      <c r="C1369" s="4" t="s">
        <v>26</v>
      </c>
      <c r="D1369" s="4" t="s">
        <v>32</v>
      </c>
      <c r="E1369" s="4">
        <v>3</v>
      </c>
      <c r="F1369" s="4">
        <v>49934</v>
      </c>
      <c r="G1369" s="4">
        <v>149802</v>
      </c>
      <c r="H1369" s="4">
        <v>4519</v>
      </c>
      <c r="I1369" s="4"/>
      <c r="J1369" s="4"/>
      <c r="K1369" s="4"/>
      <c r="L1369" s="6">
        <f t="shared" si="21"/>
        <v>33.1493693294977</v>
      </c>
      <c r="M1369" s="4"/>
    </row>
    <row r="1370" spans="1:13">
      <c r="A1370" s="3">
        <v>45707</v>
      </c>
      <c r="B1370" s="4" t="s">
        <v>8</v>
      </c>
      <c r="C1370" s="4" t="s">
        <v>22</v>
      </c>
      <c r="D1370" s="4" t="s">
        <v>29</v>
      </c>
      <c r="E1370" s="4">
        <v>2</v>
      </c>
      <c r="F1370" s="4">
        <v>21595</v>
      </c>
      <c r="G1370" s="4">
        <v>43190</v>
      </c>
      <c r="H1370" s="4">
        <v>111118</v>
      </c>
      <c r="I1370" s="4"/>
      <c r="J1370" s="4"/>
      <c r="K1370" s="4"/>
      <c r="L1370" s="6">
        <f t="shared" si="21"/>
        <v>0.388685901474109</v>
      </c>
      <c r="M1370" s="4"/>
    </row>
    <row r="1371" spans="1:13">
      <c r="A1371" s="3">
        <v>45828</v>
      </c>
      <c r="B1371" s="4" t="s">
        <v>8</v>
      </c>
      <c r="C1371" s="4" t="s">
        <v>26</v>
      </c>
      <c r="D1371" s="4" t="s">
        <v>31</v>
      </c>
      <c r="E1371" s="4">
        <v>9</v>
      </c>
      <c r="F1371" s="4">
        <v>1130</v>
      </c>
      <c r="G1371" s="4">
        <v>10170</v>
      </c>
      <c r="H1371" s="4">
        <v>71869</v>
      </c>
      <c r="I1371" s="4"/>
      <c r="J1371" s="4"/>
      <c r="K1371" s="4"/>
      <c r="L1371" s="6">
        <f t="shared" si="21"/>
        <v>0.141507464970989</v>
      </c>
      <c r="M1371" s="4"/>
    </row>
    <row r="1372" spans="1:13">
      <c r="A1372" s="3">
        <v>45702</v>
      </c>
      <c r="B1372" s="4" t="s">
        <v>5</v>
      </c>
      <c r="C1372" s="4" t="s">
        <v>24</v>
      </c>
      <c r="D1372" s="4" t="s">
        <v>29</v>
      </c>
      <c r="E1372" s="4">
        <v>9</v>
      </c>
      <c r="F1372" s="4">
        <v>2283</v>
      </c>
      <c r="G1372" s="4">
        <v>20547</v>
      </c>
      <c r="H1372" s="4">
        <v>153697</v>
      </c>
      <c r="I1372" s="4"/>
      <c r="J1372" s="4"/>
      <c r="K1372" s="4"/>
      <c r="L1372" s="6">
        <f t="shared" si="21"/>
        <v>0.133685107711927</v>
      </c>
      <c r="M1372" s="4"/>
    </row>
    <row r="1373" spans="1:13">
      <c r="A1373" s="3">
        <v>45730</v>
      </c>
      <c r="B1373" s="4" t="s">
        <v>2</v>
      </c>
      <c r="C1373" s="4" t="s">
        <v>24</v>
      </c>
      <c r="D1373" s="4" t="s">
        <v>31</v>
      </c>
      <c r="E1373" s="4">
        <v>8</v>
      </c>
      <c r="F1373" s="4">
        <v>38407</v>
      </c>
      <c r="G1373" s="4">
        <v>307256</v>
      </c>
      <c r="H1373" s="4">
        <v>71891</v>
      </c>
      <c r="I1373" s="4"/>
      <c r="J1373" s="4"/>
      <c r="K1373" s="4"/>
      <c r="L1373" s="6">
        <f t="shared" si="21"/>
        <v>4.27391467638508</v>
      </c>
      <c r="M1373" s="4"/>
    </row>
    <row r="1374" spans="1:13">
      <c r="A1374" s="3">
        <v>45690</v>
      </c>
      <c r="B1374" s="4" t="s">
        <v>6</v>
      </c>
      <c r="C1374" s="4" t="s">
        <v>28</v>
      </c>
      <c r="D1374" s="4" t="s">
        <v>31</v>
      </c>
      <c r="E1374" s="4">
        <v>9</v>
      </c>
      <c r="F1374" s="4">
        <v>36953</v>
      </c>
      <c r="G1374" s="4">
        <v>332577</v>
      </c>
      <c r="H1374" s="4">
        <v>176625</v>
      </c>
      <c r="I1374" s="4"/>
      <c r="J1374" s="4"/>
      <c r="K1374" s="4"/>
      <c r="L1374" s="6">
        <f t="shared" si="21"/>
        <v>1.88295541401274</v>
      </c>
      <c r="M1374" s="4"/>
    </row>
    <row r="1375" spans="1:13">
      <c r="A1375" s="3">
        <v>45692</v>
      </c>
      <c r="B1375" s="4" t="s">
        <v>3</v>
      </c>
      <c r="C1375" s="4" t="s">
        <v>22</v>
      </c>
      <c r="D1375" s="4" t="s">
        <v>32</v>
      </c>
      <c r="E1375" s="4">
        <v>2</v>
      </c>
      <c r="F1375" s="4">
        <v>22743</v>
      </c>
      <c r="G1375" s="4">
        <v>45486</v>
      </c>
      <c r="H1375" s="4">
        <v>38826</v>
      </c>
      <c r="I1375" s="4"/>
      <c r="J1375" s="4"/>
      <c r="K1375" s="4"/>
      <c r="L1375" s="6">
        <f t="shared" si="21"/>
        <v>1.17153453871117</v>
      </c>
      <c r="M1375" s="4"/>
    </row>
    <row r="1376" spans="1:13">
      <c r="A1376" s="3">
        <v>45664</v>
      </c>
      <c r="B1376" s="4" t="s">
        <v>5</v>
      </c>
      <c r="C1376" s="4" t="s">
        <v>26</v>
      </c>
      <c r="D1376" s="4" t="s">
        <v>30</v>
      </c>
      <c r="E1376" s="4">
        <v>7</v>
      </c>
      <c r="F1376" s="4">
        <v>2909</v>
      </c>
      <c r="G1376" s="4">
        <v>20363</v>
      </c>
      <c r="H1376" s="4">
        <v>181692</v>
      </c>
      <c r="I1376" s="4"/>
      <c r="J1376" s="4"/>
      <c r="K1376" s="4"/>
      <c r="L1376" s="6">
        <f t="shared" si="21"/>
        <v>0.112074279550008</v>
      </c>
      <c r="M1376" s="4"/>
    </row>
    <row r="1377" spans="1:13">
      <c r="A1377" s="3">
        <v>45804</v>
      </c>
      <c r="B1377" s="4" t="s">
        <v>4</v>
      </c>
      <c r="C1377" s="4" t="s">
        <v>22</v>
      </c>
      <c r="D1377" s="4" t="s">
        <v>27</v>
      </c>
      <c r="E1377" s="4">
        <v>2</v>
      </c>
      <c r="F1377" s="4">
        <v>33245</v>
      </c>
      <c r="G1377" s="4">
        <v>66490</v>
      </c>
      <c r="H1377" s="4">
        <v>46816</v>
      </c>
      <c r="I1377" s="4"/>
      <c r="J1377" s="4"/>
      <c r="K1377" s="4"/>
      <c r="L1377" s="6">
        <f t="shared" si="21"/>
        <v>1.42024094326726</v>
      </c>
      <c r="M1377" s="4"/>
    </row>
    <row r="1378" spans="1:13">
      <c r="A1378" s="3">
        <v>45716</v>
      </c>
      <c r="B1378" s="4" t="s">
        <v>4</v>
      </c>
      <c r="C1378" s="4" t="s">
        <v>28</v>
      </c>
      <c r="D1378" s="4" t="s">
        <v>23</v>
      </c>
      <c r="E1378" s="4">
        <v>7</v>
      </c>
      <c r="F1378" s="4">
        <v>40415</v>
      </c>
      <c r="G1378" s="4">
        <v>282905</v>
      </c>
      <c r="H1378" s="4">
        <v>77756</v>
      </c>
      <c r="I1378" s="4"/>
      <c r="J1378" s="4"/>
      <c r="K1378" s="4"/>
      <c r="L1378" s="6">
        <f t="shared" si="21"/>
        <v>3.63836874324811</v>
      </c>
      <c r="M1378" s="4"/>
    </row>
    <row r="1379" spans="1:13">
      <c r="A1379" s="3">
        <v>45733</v>
      </c>
      <c r="B1379" s="4" t="s">
        <v>4</v>
      </c>
      <c r="C1379" s="4" t="s">
        <v>24</v>
      </c>
      <c r="D1379" s="4" t="s">
        <v>25</v>
      </c>
      <c r="E1379" s="4">
        <v>8</v>
      </c>
      <c r="F1379" s="4">
        <v>14962</v>
      </c>
      <c r="G1379" s="4">
        <v>119696</v>
      </c>
      <c r="H1379" s="4">
        <v>99678</v>
      </c>
      <c r="I1379" s="4"/>
      <c r="J1379" s="4"/>
      <c r="K1379" s="4"/>
      <c r="L1379" s="6">
        <f t="shared" si="21"/>
        <v>1.20082666185116</v>
      </c>
      <c r="M1379" s="4"/>
    </row>
    <row r="1380" spans="1:13">
      <c r="A1380" s="3">
        <v>45704</v>
      </c>
      <c r="B1380" s="4" t="s">
        <v>5</v>
      </c>
      <c r="C1380" s="4" t="s">
        <v>26</v>
      </c>
      <c r="D1380" s="4" t="s">
        <v>29</v>
      </c>
      <c r="E1380" s="4">
        <v>9</v>
      </c>
      <c r="F1380" s="4">
        <v>44390</v>
      </c>
      <c r="G1380" s="4">
        <v>399510</v>
      </c>
      <c r="H1380" s="4">
        <v>32037</v>
      </c>
      <c r="I1380" s="4"/>
      <c r="J1380" s="4"/>
      <c r="K1380" s="4"/>
      <c r="L1380" s="6">
        <f t="shared" si="21"/>
        <v>12.4702687517558</v>
      </c>
      <c r="M1380" s="4"/>
    </row>
    <row r="1381" spans="1:13">
      <c r="A1381" s="3">
        <v>45703</v>
      </c>
      <c r="B1381" s="4" t="s">
        <v>2</v>
      </c>
      <c r="C1381" s="4" t="s">
        <v>26</v>
      </c>
      <c r="D1381" s="4" t="s">
        <v>30</v>
      </c>
      <c r="E1381" s="4">
        <v>10</v>
      </c>
      <c r="F1381" s="4">
        <v>41401</v>
      </c>
      <c r="G1381" s="4">
        <v>414010</v>
      </c>
      <c r="H1381" s="4">
        <v>86379</v>
      </c>
      <c r="I1381" s="4"/>
      <c r="J1381" s="4"/>
      <c r="K1381" s="4"/>
      <c r="L1381" s="6">
        <f t="shared" si="21"/>
        <v>4.79294735989071</v>
      </c>
      <c r="M1381" s="4"/>
    </row>
    <row r="1382" spans="1:13">
      <c r="A1382" s="3">
        <v>45709</v>
      </c>
      <c r="B1382" s="4" t="s">
        <v>8</v>
      </c>
      <c r="C1382" s="4" t="s">
        <v>22</v>
      </c>
      <c r="D1382" s="4" t="s">
        <v>25</v>
      </c>
      <c r="E1382" s="4">
        <v>2</v>
      </c>
      <c r="F1382" s="4">
        <v>36439</v>
      </c>
      <c r="G1382" s="4">
        <v>72878</v>
      </c>
      <c r="H1382" s="4">
        <v>119229</v>
      </c>
      <c r="I1382" s="4"/>
      <c r="J1382" s="4"/>
      <c r="K1382" s="4"/>
      <c r="L1382" s="6">
        <f t="shared" si="21"/>
        <v>0.611243908780582</v>
      </c>
      <c r="M1382" s="4"/>
    </row>
    <row r="1383" spans="1:13">
      <c r="A1383" s="3">
        <v>45788</v>
      </c>
      <c r="B1383" s="4" t="s">
        <v>7</v>
      </c>
      <c r="C1383" s="4" t="s">
        <v>22</v>
      </c>
      <c r="D1383" s="4" t="s">
        <v>23</v>
      </c>
      <c r="E1383" s="4">
        <v>6</v>
      </c>
      <c r="F1383" s="4">
        <v>39714</v>
      </c>
      <c r="G1383" s="4">
        <v>238284</v>
      </c>
      <c r="H1383" s="4">
        <v>32621</v>
      </c>
      <c r="I1383" s="4"/>
      <c r="J1383" s="4"/>
      <c r="K1383" s="4"/>
      <c r="L1383" s="6">
        <f t="shared" si="21"/>
        <v>7.304619723491</v>
      </c>
      <c r="M1383" s="4"/>
    </row>
    <row r="1384" spans="1:13">
      <c r="A1384" s="3">
        <v>45746</v>
      </c>
      <c r="B1384" s="4" t="s">
        <v>8</v>
      </c>
      <c r="C1384" s="4" t="s">
        <v>28</v>
      </c>
      <c r="D1384" s="4" t="s">
        <v>30</v>
      </c>
      <c r="E1384" s="4">
        <v>6</v>
      </c>
      <c r="F1384" s="4">
        <v>40212</v>
      </c>
      <c r="G1384" s="4">
        <v>241272</v>
      </c>
      <c r="H1384" s="4">
        <v>88892</v>
      </c>
      <c r="I1384" s="4"/>
      <c r="J1384" s="4"/>
      <c r="K1384" s="4"/>
      <c r="L1384" s="6">
        <f t="shared" si="21"/>
        <v>2.71421500247491</v>
      </c>
      <c r="M1384" s="4"/>
    </row>
    <row r="1385" spans="1:13">
      <c r="A1385" s="3">
        <v>45820</v>
      </c>
      <c r="B1385" s="4" t="s">
        <v>7</v>
      </c>
      <c r="C1385" s="4" t="s">
        <v>24</v>
      </c>
      <c r="D1385" s="4" t="s">
        <v>31</v>
      </c>
      <c r="E1385" s="4">
        <v>2</v>
      </c>
      <c r="F1385" s="4">
        <v>44865</v>
      </c>
      <c r="G1385" s="4">
        <v>89730</v>
      </c>
      <c r="H1385" s="4">
        <v>107547</v>
      </c>
      <c r="I1385" s="4"/>
      <c r="J1385" s="4"/>
      <c r="K1385" s="4"/>
      <c r="L1385" s="6">
        <f t="shared" si="21"/>
        <v>0.834332896315099</v>
      </c>
      <c r="M1385" s="4"/>
    </row>
    <row r="1386" spans="1:13">
      <c r="A1386" s="3">
        <v>45831</v>
      </c>
      <c r="B1386" s="4" t="s">
        <v>4</v>
      </c>
      <c r="C1386" s="4" t="s">
        <v>26</v>
      </c>
      <c r="D1386" s="4" t="s">
        <v>31</v>
      </c>
      <c r="E1386" s="4">
        <v>7</v>
      </c>
      <c r="F1386" s="4">
        <v>10321</v>
      </c>
      <c r="G1386" s="4">
        <v>72247</v>
      </c>
      <c r="H1386" s="4">
        <v>154879</v>
      </c>
      <c r="I1386" s="4"/>
      <c r="J1386" s="4"/>
      <c r="K1386" s="4"/>
      <c r="L1386" s="6">
        <f t="shared" si="21"/>
        <v>0.466473827956017</v>
      </c>
      <c r="M1386" s="4"/>
    </row>
    <row r="1387" spans="1:13">
      <c r="A1387" s="3">
        <v>45736</v>
      </c>
      <c r="B1387" s="4" t="s">
        <v>8</v>
      </c>
      <c r="C1387" s="4" t="s">
        <v>26</v>
      </c>
      <c r="D1387" s="4" t="s">
        <v>32</v>
      </c>
      <c r="E1387" s="4">
        <v>10</v>
      </c>
      <c r="F1387" s="4">
        <v>1553</v>
      </c>
      <c r="G1387" s="4">
        <v>15530</v>
      </c>
      <c r="H1387" s="4">
        <v>40315</v>
      </c>
      <c r="I1387" s="4"/>
      <c r="J1387" s="4"/>
      <c r="K1387" s="4"/>
      <c r="L1387" s="6">
        <f t="shared" si="21"/>
        <v>0.385216420687089</v>
      </c>
      <c r="M1387" s="4"/>
    </row>
    <row r="1388" spans="1:13">
      <c r="A1388" s="3">
        <v>45786</v>
      </c>
      <c r="B1388" s="4" t="s">
        <v>4</v>
      </c>
      <c r="C1388" s="4" t="s">
        <v>28</v>
      </c>
      <c r="D1388" s="4" t="s">
        <v>25</v>
      </c>
      <c r="E1388" s="4">
        <v>10</v>
      </c>
      <c r="F1388" s="4">
        <v>9289</v>
      </c>
      <c r="G1388" s="4">
        <v>92890</v>
      </c>
      <c r="H1388" s="4">
        <v>49757</v>
      </c>
      <c r="I1388" s="4"/>
      <c r="J1388" s="4"/>
      <c r="K1388" s="4"/>
      <c r="L1388" s="6">
        <f t="shared" si="21"/>
        <v>1.86687300279358</v>
      </c>
      <c r="M1388" s="4"/>
    </row>
    <row r="1389" spans="1:13">
      <c r="A1389" s="3">
        <v>45749</v>
      </c>
      <c r="B1389" s="4" t="s">
        <v>5</v>
      </c>
      <c r="C1389" s="4" t="s">
        <v>28</v>
      </c>
      <c r="D1389" s="4" t="s">
        <v>29</v>
      </c>
      <c r="E1389" s="4">
        <v>3</v>
      </c>
      <c r="F1389" s="4">
        <v>45977</v>
      </c>
      <c r="G1389" s="4">
        <v>137931</v>
      </c>
      <c r="H1389" s="4">
        <v>108910</v>
      </c>
      <c r="I1389" s="4"/>
      <c r="J1389" s="4"/>
      <c r="K1389" s="4"/>
      <c r="L1389" s="6">
        <f t="shared" si="21"/>
        <v>1.26646772564503</v>
      </c>
      <c r="M1389" s="4"/>
    </row>
    <row r="1390" spans="1:13">
      <c r="A1390" s="3">
        <v>45835</v>
      </c>
      <c r="B1390" s="4" t="s">
        <v>6</v>
      </c>
      <c r="C1390" s="4" t="s">
        <v>22</v>
      </c>
      <c r="D1390" s="4" t="s">
        <v>23</v>
      </c>
      <c r="E1390" s="4">
        <v>6</v>
      </c>
      <c r="F1390" s="4">
        <v>29237</v>
      </c>
      <c r="G1390" s="4">
        <v>175422</v>
      </c>
      <c r="H1390" s="4">
        <v>144104</v>
      </c>
      <c r="I1390" s="4"/>
      <c r="J1390" s="4"/>
      <c r="K1390" s="4"/>
      <c r="L1390" s="6">
        <f t="shared" si="21"/>
        <v>1.2173291511686</v>
      </c>
      <c r="M1390" s="4"/>
    </row>
    <row r="1391" spans="1:13">
      <c r="A1391" s="3">
        <v>45789</v>
      </c>
      <c r="B1391" s="4" t="s">
        <v>8</v>
      </c>
      <c r="C1391" s="4" t="s">
        <v>24</v>
      </c>
      <c r="D1391" s="4" t="s">
        <v>33</v>
      </c>
      <c r="E1391" s="4">
        <v>3</v>
      </c>
      <c r="F1391" s="4">
        <v>34314</v>
      </c>
      <c r="G1391" s="4">
        <v>102942</v>
      </c>
      <c r="H1391" s="4">
        <v>32310</v>
      </c>
      <c r="I1391" s="4"/>
      <c r="J1391" s="4"/>
      <c r="K1391" s="4"/>
      <c r="L1391" s="6">
        <f t="shared" si="21"/>
        <v>3.18607242339833</v>
      </c>
      <c r="M1391" s="4"/>
    </row>
    <row r="1392" spans="1:13">
      <c r="A1392" s="3">
        <v>45790</v>
      </c>
      <c r="B1392" s="4" t="s">
        <v>8</v>
      </c>
      <c r="C1392" s="4" t="s">
        <v>26</v>
      </c>
      <c r="D1392" s="4" t="s">
        <v>25</v>
      </c>
      <c r="E1392" s="4">
        <v>1</v>
      </c>
      <c r="F1392" s="4">
        <v>10842</v>
      </c>
      <c r="G1392" s="4">
        <v>10842</v>
      </c>
      <c r="H1392" s="4">
        <v>146910</v>
      </c>
      <c r="I1392" s="4"/>
      <c r="J1392" s="4"/>
      <c r="K1392" s="4"/>
      <c r="L1392" s="6">
        <f t="shared" si="21"/>
        <v>0.07380028588932</v>
      </c>
      <c r="M1392" s="4"/>
    </row>
    <row r="1393" spans="1:13">
      <c r="A1393" s="3">
        <v>45821</v>
      </c>
      <c r="B1393" s="4" t="s">
        <v>6</v>
      </c>
      <c r="C1393" s="4" t="s">
        <v>22</v>
      </c>
      <c r="D1393" s="4" t="s">
        <v>25</v>
      </c>
      <c r="E1393" s="4">
        <v>10</v>
      </c>
      <c r="F1393" s="4">
        <v>19409</v>
      </c>
      <c r="G1393" s="4">
        <v>194090</v>
      </c>
      <c r="H1393" s="4">
        <v>145451</v>
      </c>
      <c r="I1393" s="4"/>
      <c r="J1393" s="4"/>
      <c r="K1393" s="4"/>
      <c r="L1393" s="6">
        <f t="shared" si="21"/>
        <v>1.3344012760311</v>
      </c>
      <c r="M1393" s="4"/>
    </row>
    <row r="1394" spans="1:13">
      <c r="A1394" s="3">
        <v>45750</v>
      </c>
      <c r="B1394" s="4" t="s">
        <v>7</v>
      </c>
      <c r="C1394" s="4" t="s">
        <v>28</v>
      </c>
      <c r="D1394" s="4" t="s">
        <v>23</v>
      </c>
      <c r="E1394" s="4">
        <v>7</v>
      </c>
      <c r="F1394" s="4">
        <v>39619</v>
      </c>
      <c r="G1394" s="4">
        <v>277333</v>
      </c>
      <c r="H1394" s="4">
        <v>127118</v>
      </c>
      <c r="I1394" s="4"/>
      <c r="J1394" s="4"/>
      <c r="K1394" s="4"/>
      <c r="L1394" s="6">
        <f t="shared" si="21"/>
        <v>2.18169732059976</v>
      </c>
      <c r="M1394" s="4"/>
    </row>
    <row r="1395" spans="1:13">
      <c r="A1395" s="3">
        <v>45802</v>
      </c>
      <c r="B1395" s="4" t="s">
        <v>5</v>
      </c>
      <c r="C1395" s="4" t="s">
        <v>28</v>
      </c>
      <c r="D1395" s="4" t="s">
        <v>32</v>
      </c>
      <c r="E1395" s="4">
        <v>8</v>
      </c>
      <c r="F1395" s="4">
        <v>32975</v>
      </c>
      <c r="G1395" s="4">
        <v>263800</v>
      </c>
      <c r="H1395" s="4">
        <v>34988</v>
      </c>
      <c r="I1395" s="4"/>
      <c r="J1395" s="4"/>
      <c r="K1395" s="4"/>
      <c r="L1395" s="6">
        <f t="shared" si="21"/>
        <v>7.53972790671087</v>
      </c>
      <c r="M1395" s="4"/>
    </row>
    <row r="1396" spans="1:13">
      <c r="A1396" s="3">
        <v>45694</v>
      </c>
      <c r="B1396" s="4" t="s">
        <v>7</v>
      </c>
      <c r="C1396" s="4" t="s">
        <v>22</v>
      </c>
      <c r="D1396" s="4" t="s">
        <v>25</v>
      </c>
      <c r="E1396" s="4">
        <v>9</v>
      </c>
      <c r="F1396" s="4">
        <v>15365</v>
      </c>
      <c r="G1396" s="4">
        <v>138285</v>
      </c>
      <c r="H1396" s="4">
        <v>191814</v>
      </c>
      <c r="I1396" s="4"/>
      <c r="J1396" s="4"/>
      <c r="K1396" s="4"/>
      <c r="L1396" s="6">
        <f t="shared" si="21"/>
        <v>0.720932778629297</v>
      </c>
      <c r="M1396" s="4"/>
    </row>
    <row r="1397" spans="1:13">
      <c r="A1397" s="3">
        <v>45778</v>
      </c>
      <c r="B1397" s="4" t="s">
        <v>4</v>
      </c>
      <c r="C1397" s="4" t="s">
        <v>24</v>
      </c>
      <c r="D1397" s="4" t="s">
        <v>25</v>
      </c>
      <c r="E1397" s="4">
        <v>1</v>
      </c>
      <c r="F1397" s="4">
        <v>35030</v>
      </c>
      <c r="G1397" s="4">
        <v>35030</v>
      </c>
      <c r="H1397" s="4">
        <v>2893</v>
      </c>
      <c r="I1397" s="4"/>
      <c r="J1397" s="4"/>
      <c r="K1397" s="4"/>
      <c r="L1397" s="6">
        <f t="shared" si="21"/>
        <v>12.1085378499827</v>
      </c>
      <c r="M1397" s="4"/>
    </row>
    <row r="1398" spans="1:13">
      <c r="A1398" s="3">
        <v>45714</v>
      </c>
      <c r="B1398" s="4" t="s">
        <v>6</v>
      </c>
      <c r="C1398" s="4" t="s">
        <v>22</v>
      </c>
      <c r="D1398" s="4" t="s">
        <v>29</v>
      </c>
      <c r="E1398" s="4">
        <v>1</v>
      </c>
      <c r="F1398" s="4">
        <v>28555</v>
      </c>
      <c r="G1398" s="4">
        <v>28555</v>
      </c>
      <c r="H1398" s="4">
        <v>86181</v>
      </c>
      <c r="I1398" s="4"/>
      <c r="J1398" s="4"/>
      <c r="K1398" s="4"/>
      <c r="L1398" s="6">
        <f t="shared" si="21"/>
        <v>0.331337533795152</v>
      </c>
      <c r="M1398" s="4"/>
    </row>
    <row r="1399" spans="1:13">
      <c r="A1399" s="3">
        <v>45834</v>
      </c>
      <c r="B1399" s="4" t="s">
        <v>4</v>
      </c>
      <c r="C1399" s="4" t="s">
        <v>22</v>
      </c>
      <c r="D1399" s="4" t="s">
        <v>27</v>
      </c>
      <c r="E1399" s="4">
        <v>8</v>
      </c>
      <c r="F1399" s="4">
        <v>33292</v>
      </c>
      <c r="G1399" s="4">
        <v>266336</v>
      </c>
      <c r="H1399" s="4">
        <v>74142</v>
      </c>
      <c r="I1399" s="4"/>
      <c r="J1399" s="4"/>
      <c r="K1399" s="4"/>
      <c r="L1399" s="6">
        <f t="shared" si="21"/>
        <v>3.59224191416471</v>
      </c>
      <c r="M1399" s="4"/>
    </row>
    <row r="1400" spans="1:13">
      <c r="A1400" s="3">
        <v>45729</v>
      </c>
      <c r="B1400" s="4" t="s">
        <v>7</v>
      </c>
      <c r="C1400" s="4" t="s">
        <v>24</v>
      </c>
      <c r="D1400" s="4" t="s">
        <v>29</v>
      </c>
      <c r="E1400" s="4">
        <v>8</v>
      </c>
      <c r="F1400" s="4">
        <v>47531</v>
      </c>
      <c r="G1400" s="4">
        <v>380248</v>
      </c>
      <c r="H1400" s="4">
        <v>135028</v>
      </c>
      <c r="I1400" s="4"/>
      <c r="J1400" s="4"/>
      <c r="K1400" s="4"/>
      <c r="L1400" s="6">
        <f t="shared" si="21"/>
        <v>2.81606777853482</v>
      </c>
      <c r="M1400" s="4"/>
    </row>
    <row r="1401" spans="1:13">
      <c r="A1401" s="3">
        <v>45829</v>
      </c>
      <c r="B1401" s="4" t="s">
        <v>8</v>
      </c>
      <c r="C1401" s="4" t="s">
        <v>26</v>
      </c>
      <c r="D1401" s="4" t="s">
        <v>27</v>
      </c>
      <c r="E1401" s="4">
        <v>4</v>
      </c>
      <c r="F1401" s="4">
        <v>31570</v>
      </c>
      <c r="G1401" s="4">
        <v>126280</v>
      </c>
      <c r="H1401" s="4">
        <v>113931</v>
      </c>
      <c r="I1401" s="4"/>
      <c r="J1401" s="4"/>
      <c r="K1401" s="4"/>
      <c r="L1401" s="6">
        <f t="shared" si="21"/>
        <v>1.10839016597765</v>
      </c>
      <c r="M1401" s="4"/>
    </row>
    <row r="1402" spans="1:13">
      <c r="A1402" s="3">
        <v>45777</v>
      </c>
      <c r="B1402" s="4" t="s">
        <v>2</v>
      </c>
      <c r="C1402" s="4" t="s">
        <v>24</v>
      </c>
      <c r="D1402" s="4" t="s">
        <v>31</v>
      </c>
      <c r="E1402" s="4">
        <v>9</v>
      </c>
      <c r="F1402" s="4">
        <v>1017</v>
      </c>
      <c r="G1402" s="4">
        <v>9153</v>
      </c>
      <c r="H1402" s="4">
        <v>128234</v>
      </c>
      <c r="I1402" s="4"/>
      <c r="J1402" s="4"/>
      <c r="K1402" s="4"/>
      <c r="L1402" s="6">
        <f t="shared" si="21"/>
        <v>0.0713773258262239</v>
      </c>
      <c r="M1402" s="4"/>
    </row>
    <row r="1403" spans="1:13">
      <c r="A1403" s="3">
        <v>45753</v>
      </c>
      <c r="B1403" s="4" t="s">
        <v>4</v>
      </c>
      <c r="C1403" s="4" t="s">
        <v>24</v>
      </c>
      <c r="D1403" s="4" t="s">
        <v>33</v>
      </c>
      <c r="E1403" s="4">
        <v>8</v>
      </c>
      <c r="F1403" s="4">
        <v>13013</v>
      </c>
      <c r="G1403" s="4">
        <v>104104</v>
      </c>
      <c r="H1403" s="4">
        <v>79207</v>
      </c>
      <c r="I1403" s="4"/>
      <c r="J1403" s="4"/>
      <c r="K1403" s="4"/>
      <c r="L1403" s="6">
        <f t="shared" si="21"/>
        <v>1.31432827906624</v>
      </c>
      <c r="M1403" s="4"/>
    </row>
    <row r="1404" spans="1:13">
      <c r="A1404" s="3">
        <v>45749</v>
      </c>
      <c r="B1404" s="4" t="s">
        <v>2</v>
      </c>
      <c r="C1404" s="4" t="s">
        <v>24</v>
      </c>
      <c r="D1404" s="4" t="s">
        <v>23</v>
      </c>
      <c r="E1404" s="4">
        <v>7</v>
      </c>
      <c r="F1404" s="4">
        <v>33501</v>
      </c>
      <c r="G1404" s="4">
        <v>234507</v>
      </c>
      <c r="H1404" s="4">
        <v>23035</v>
      </c>
      <c r="I1404" s="4"/>
      <c r="J1404" s="4"/>
      <c r="K1404" s="4"/>
      <c r="L1404" s="6">
        <f t="shared" si="21"/>
        <v>10.1804645105275</v>
      </c>
      <c r="M1404" s="4"/>
    </row>
    <row r="1405" spans="1:13">
      <c r="A1405" s="3">
        <v>45690</v>
      </c>
      <c r="B1405" s="4" t="s">
        <v>2</v>
      </c>
      <c r="C1405" s="4" t="s">
        <v>22</v>
      </c>
      <c r="D1405" s="4" t="s">
        <v>27</v>
      </c>
      <c r="E1405" s="4">
        <v>3</v>
      </c>
      <c r="F1405" s="4">
        <v>29138</v>
      </c>
      <c r="G1405" s="4">
        <v>87414</v>
      </c>
      <c r="H1405" s="4">
        <v>197912</v>
      </c>
      <c r="I1405" s="4"/>
      <c r="J1405" s="4"/>
      <c r="K1405" s="4"/>
      <c r="L1405" s="6">
        <f t="shared" si="21"/>
        <v>0.441681151218723</v>
      </c>
      <c r="M1405" s="4"/>
    </row>
    <row r="1406" spans="1:13">
      <c r="A1406" s="3">
        <v>45753</v>
      </c>
      <c r="B1406" s="4" t="s">
        <v>6</v>
      </c>
      <c r="C1406" s="4" t="s">
        <v>28</v>
      </c>
      <c r="D1406" s="4" t="s">
        <v>31</v>
      </c>
      <c r="E1406" s="4">
        <v>4</v>
      </c>
      <c r="F1406" s="4">
        <v>27901</v>
      </c>
      <c r="G1406" s="4">
        <v>111604</v>
      </c>
      <c r="H1406" s="4">
        <v>72763</v>
      </c>
      <c r="I1406" s="4"/>
      <c r="J1406" s="4"/>
      <c r="K1406" s="4"/>
      <c r="L1406" s="6">
        <f t="shared" si="21"/>
        <v>1.5338015200033</v>
      </c>
      <c r="M1406" s="4"/>
    </row>
    <row r="1407" spans="1:13">
      <c r="A1407" s="3">
        <v>45678</v>
      </c>
      <c r="B1407" s="4" t="s">
        <v>2</v>
      </c>
      <c r="C1407" s="4" t="s">
        <v>26</v>
      </c>
      <c r="D1407" s="4" t="s">
        <v>25</v>
      </c>
      <c r="E1407" s="4">
        <v>1</v>
      </c>
      <c r="F1407" s="4">
        <v>2067</v>
      </c>
      <c r="G1407" s="4">
        <v>2067</v>
      </c>
      <c r="H1407" s="4">
        <v>197449</v>
      </c>
      <c r="I1407" s="4"/>
      <c r="J1407" s="4"/>
      <c r="K1407" s="4"/>
      <c r="L1407" s="6">
        <f t="shared" si="21"/>
        <v>0.0104685260497648</v>
      </c>
      <c r="M1407" s="4"/>
    </row>
    <row r="1408" spans="1:13">
      <c r="A1408" s="3">
        <v>45671</v>
      </c>
      <c r="B1408" s="4" t="s">
        <v>7</v>
      </c>
      <c r="C1408" s="4" t="s">
        <v>28</v>
      </c>
      <c r="D1408" s="4" t="s">
        <v>27</v>
      </c>
      <c r="E1408" s="4">
        <v>7</v>
      </c>
      <c r="F1408" s="4">
        <v>26885</v>
      </c>
      <c r="G1408" s="4">
        <v>188195</v>
      </c>
      <c r="H1408" s="4">
        <v>94638</v>
      </c>
      <c r="I1408" s="4"/>
      <c r="J1408" s="4"/>
      <c r="K1408" s="4"/>
      <c r="L1408" s="6">
        <f t="shared" si="21"/>
        <v>1.98857752699761</v>
      </c>
      <c r="M1408" s="4"/>
    </row>
    <row r="1409" spans="1:13">
      <c r="A1409" s="3">
        <v>45838</v>
      </c>
      <c r="B1409" s="4" t="s">
        <v>3</v>
      </c>
      <c r="C1409" s="4" t="s">
        <v>26</v>
      </c>
      <c r="D1409" s="4" t="s">
        <v>27</v>
      </c>
      <c r="E1409" s="4">
        <v>2</v>
      </c>
      <c r="F1409" s="4">
        <v>14849</v>
      </c>
      <c r="G1409" s="4">
        <v>29698</v>
      </c>
      <c r="H1409" s="4">
        <v>58590</v>
      </c>
      <c r="I1409" s="4"/>
      <c r="J1409" s="4"/>
      <c r="K1409" s="4"/>
      <c r="L1409" s="6">
        <f t="shared" si="21"/>
        <v>0.506878306878307</v>
      </c>
      <c r="M1409" s="4"/>
    </row>
    <row r="1410" spans="1:13">
      <c r="A1410" s="3">
        <v>45757</v>
      </c>
      <c r="B1410" s="4" t="s">
        <v>4</v>
      </c>
      <c r="C1410" s="4" t="s">
        <v>26</v>
      </c>
      <c r="D1410" s="4" t="s">
        <v>23</v>
      </c>
      <c r="E1410" s="4">
        <v>4</v>
      </c>
      <c r="F1410" s="4">
        <v>21939</v>
      </c>
      <c r="G1410" s="4">
        <v>87756</v>
      </c>
      <c r="H1410" s="4">
        <v>183348</v>
      </c>
      <c r="I1410" s="4"/>
      <c r="J1410" s="4"/>
      <c r="K1410" s="4"/>
      <c r="L1410" s="6">
        <f t="shared" si="21"/>
        <v>0.478630800445055</v>
      </c>
      <c r="M1410" s="4"/>
    </row>
    <row r="1411" spans="1:13">
      <c r="A1411" s="3">
        <v>45768</v>
      </c>
      <c r="B1411" s="4" t="s">
        <v>3</v>
      </c>
      <c r="C1411" s="4" t="s">
        <v>26</v>
      </c>
      <c r="D1411" s="4" t="s">
        <v>23</v>
      </c>
      <c r="E1411" s="4">
        <v>7</v>
      </c>
      <c r="F1411" s="4">
        <v>38477</v>
      </c>
      <c r="G1411" s="4">
        <v>269339</v>
      </c>
      <c r="H1411" s="4">
        <v>192919</v>
      </c>
      <c r="I1411" s="4"/>
      <c r="J1411" s="4"/>
      <c r="K1411" s="4"/>
      <c r="L1411" s="6">
        <f t="shared" ref="L1411:L1474" si="22">G1411/H1411</f>
        <v>1.39612479849056</v>
      </c>
      <c r="M1411" s="4"/>
    </row>
    <row r="1412" spans="1:13">
      <c r="A1412" s="3">
        <v>45742</v>
      </c>
      <c r="B1412" s="4" t="s">
        <v>6</v>
      </c>
      <c r="C1412" s="4" t="s">
        <v>22</v>
      </c>
      <c r="D1412" s="4" t="s">
        <v>31</v>
      </c>
      <c r="E1412" s="4">
        <v>1</v>
      </c>
      <c r="F1412" s="4">
        <v>27188</v>
      </c>
      <c r="G1412" s="4">
        <v>27188</v>
      </c>
      <c r="H1412" s="4">
        <v>173790</v>
      </c>
      <c r="I1412" s="4"/>
      <c r="J1412" s="4"/>
      <c r="K1412" s="4"/>
      <c r="L1412" s="6">
        <f t="shared" si="22"/>
        <v>0.156441682490362</v>
      </c>
      <c r="M1412" s="4"/>
    </row>
    <row r="1413" spans="1:13">
      <c r="A1413" s="3">
        <v>45824</v>
      </c>
      <c r="B1413" s="4" t="s">
        <v>2</v>
      </c>
      <c r="C1413" s="4" t="s">
        <v>24</v>
      </c>
      <c r="D1413" s="4" t="s">
        <v>25</v>
      </c>
      <c r="E1413" s="4">
        <v>3</v>
      </c>
      <c r="F1413" s="4">
        <v>33651</v>
      </c>
      <c r="G1413" s="4">
        <v>100953</v>
      </c>
      <c r="H1413" s="4">
        <v>87514</v>
      </c>
      <c r="I1413" s="4"/>
      <c r="J1413" s="4"/>
      <c r="K1413" s="4"/>
      <c r="L1413" s="6">
        <f t="shared" si="22"/>
        <v>1.15356400118838</v>
      </c>
      <c r="M1413" s="4"/>
    </row>
    <row r="1414" spans="1:13">
      <c r="A1414" s="3">
        <v>45808</v>
      </c>
      <c r="B1414" s="4" t="s">
        <v>5</v>
      </c>
      <c r="C1414" s="4" t="s">
        <v>28</v>
      </c>
      <c r="D1414" s="4" t="s">
        <v>32</v>
      </c>
      <c r="E1414" s="4">
        <v>10</v>
      </c>
      <c r="F1414" s="4">
        <v>33526</v>
      </c>
      <c r="G1414" s="4">
        <v>335260</v>
      </c>
      <c r="H1414" s="4">
        <v>100827</v>
      </c>
      <c r="I1414" s="4"/>
      <c r="J1414" s="4"/>
      <c r="K1414" s="4"/>
      <c r="L1414" s="6">
        <f t="shared" si="22"/>
        <v>3.32510141132831</v>
      </c>
      <c r="M1414" s="4"/>
    </row>
    <row r="1415" spans="1:13">
      <c r="A1415" s="3">
        <v>45748</v>
      </c>
      <c r="B1415" s="4" t="s">
        <v>3</v>
      </c>
      <c r="C1415" s="4" t="s">
        <v>22</v>
      </c>
      <c r="D1415" s="4" t="s">
        <v>32</v>
      </c>
      <c r="E1415" s="4">
        <v>3</v>
      </c>
      <c r="F1415" s="4">
        <v>27721</v>
      </c>
      <c r="G1415" s="4">
        <v>83163</v>
      </c>
      <c r="H1415" s="4">
        <v>118604</v>
      </c>
      <c r="I1415" s="4"/>
      <c r="J1415" s="4"/>
      <c r="K1415" s="4"/>
      <c r="L1415" s="6">
        <f t="shared" si="22"/>
        <v>0.701182084921251</v>
      </c>
      <c r="M1415" s="4"/>
    </row>
    <row r="1416" spans="1:13">
      <c r="A1416" s="3">
        <v>45762</v>
      </c>
      <c r="B1416" s="4" t="s">
        <v>6</v>
      </c>
      <c r="C1416" s="4" t="s">
        <v>28</v>
      </c>
      <c r="D1416" s="4" t="s">
        <v>31</v>
      </c>
      <c r="E1416" s="4">
        <v>2</v>
      </c>
      <c r="F1416" s="4">
        <v>9447</v>
      </c>
      <c r="G1416" s="4">
        <v>18894</v>
      </c>
      <c r="H1416" s="4">
        <v>190020</v>
      </c>
      <c r="I1416" s="4"/>
      <c r="J1416" s="4"/>
      <c r="K1416" s="4"/>
      <c r="L1416" s="6">
        <f t="shared" si="22"/>
        <v>0.0994316387748658</v>
      </c>
      <c r="M1416" s="4"/>
    </row>
    <row r="1417" spans="1:13">
      <c r="A1417" s="3">
        <v>45667</v>
      </c>
      <c r="B1417" s="4" t="s">
        <v>6</v>
      </c>
      <c r="C1417" s="4" t="s">
        <v>28</v>
      </c>
      <c r="D1417" s="4" t="s">
        <v>23</v>
      </c>
      <c r="E1417" s="4">
        <v>3</v>
      </c>
      <c r="F1417" s="4">
        <v>3407</v>
      </c>
      <c r="G1417" s="4">
        <v>10221</v>
      </c>
      <c r="H1417" s="4">
        <v>172272</v>
      </c>
      <c r="I1417" s="4"/>
      <c r="J1417" s="4"/>
      <c r="K1417" s="4"/>
      <c r="L1417" s="6">
        <f t="shared" si="22"/>
        <v>0.059330593480078</v>
      </c>
      <c r="M1417" s="4"/>
    </row>
    <row r="1418" spans="1:13">
      <c r="A1418" s="3">
        <v>45744</v>
      </c>
      <c r="B1418" s="4" t="s">
        <v>8</v>
      </c>
      <c r="C1418" s="4" t="s">
        <v>22</v>
      </c>
      <c r="D1418" s="4" t="s">
        <v>29</v>
      </c>
      <c r="E1418" s="4">
        <v>1</v>
      </c>
      <c r="F1418" s="4">
        <v>43302</v>
      </c>
      <c r="G1418" s="4">
        <v>43302</v>
      </c>
      <c r="H1418" s="4">
        <v>53432</v>
      </c>
      <c r="I1418" s="4"/>
      <c r="J1418" s="4"/>
      <c r="K1418" s="4"/>
      <c r="L1418" s="6">
        <f t="shared" si="22"/>
        <v>0.810413235514299</v>
      </c>
      <c r="M1418" s="4"/>
    </row>
    <row r="1419" spans="1:13">
      <c r="A1419" s="3">
        <v>45747</v>
      </c>
      <c r="B1419" s="4" t="s">
        <v>7</v>
      </c>
      <c r="C1419" s="4" t="s">
        <v>24</v>
      </c>
      <c r="D1419" s="4" t="s">
        <v>23</v>
      </c>
      <c r="E1419" s="4">
        <v>7</v>
      </c>
      <c r="F1419" s="4">
        <v>968</v>
      </c>
      <c r="G1419" s="4">
        <v>6776</v>
      </c>
      <c r="H1419" s="4">
        <v>99874</v>
      </c>
      <c r="I1419" s="4"/>
      <c r="J1419" s="4"/>
      <c r="K1419" s="4"/>
      <c r="L1419" s="6">
        <f t="shared" si="22"/>
        <v>0.0678454853114925</v>
      </c>
      <c r="M1419" s="4"/>
    </row>
    <row r="1420" spans="1:13">
      <c r="A1420" s="3">
        <v>45743</v>
      </c>
      <c r="B1420" s="4" t="s">
        <v>3</v>
      </c>
      <c r="C1420" s="4" t="s">
        <v>24</v>
      </c>
      <c r="D1420" s="4" t="s">
        <v>32</v>
      </c>
      <c r="E1420" s="4">
        <v>5</v>
      </c>
      <c r="F1420" s="4">
        <v>48957</v>
      </c>
      <c r="G1420" s="4">
        <v>244785</v>
      </c>
      <c r="H1420" s="4">
        <v>61865</v>
      </c>
      <c r="I1420" s="4"/>
      <c r="J1420" s="4"/>
      <c r="K1420" s="4"/>
      <c r="L1420" s="6">
        <f t="shared" si="22"/>
        <v>3.95676068859614</v>
      </c>
      <c r="M1420" s="4"/>
    </row>
    <row r="1421" spans="1:13">
      <c r="A1421" s="3">
        <v>45804</v>
      </c>
      <c r="B1421" s="4" t="s">
        <v>3</v>
      </c>
      <c r="C1421" s="4" t="s">
        <v>22</v>
      </c>
      <c r="D1421" s="4" t="s">
        <v>31</v>
      </c>
      <c r="E1421" s="4">
        <v>2</v>
      </c>
      <c r="F1421" s="4">
        <v>5958</v>
      </c>
      <c r="G1421" s="4">
        <v>11916</v>
      </c>
      <c r="H1421" s="4">
        <v>53486</v>
      </c>
      <c r="I1421" s="4"/>
      <c r="J1421" s="4"/>
      <c r="K1421" s="4"/>
      <c r="L1421" s="6">
        <f t="shared" si="22"/>
        <v>0.222787271435516</v>
      </c>
      <c r="M1421" s="4"/>
    </row>
    <row r="1422" spans="1:13">
      <c r="A1422" s="3">
        <v>45663</v>
      </c>
      <c r="B1422" s="4" t="s">
        <v>6</v>
      </c>
      <c r="C1422" s="4" t="s">
        <v>22</v>
      </c>
      <c r="D1422" s="4" t="s">
        <v>25</v>
      </c>
      <c r="E1422" s="4">
        <v>7</v>
      </c>
      <c r="F1422" s="4">
        <v>44348</v>
      </c>
      <c r="G1422" s="4">
        <v>310436</v>
      </c>
      <c r="H1422" s="4">
        <v>10500</v>
      </c>
      <c r="I1422" s="4"/>
      <c r="J1422" s="4"/>
      <c r="K1422" s="4"/>
      <c r="L1422" s="6">
        <f t="shared" si="22"/>
        <v>29.5653333333333</v>
      </c>
      <c r="M1422" s="4"/>
    </row>
    <row r="1423" spans="1:13">
      <c r="A1423" s="3">
        <v>45703</v>
      </c>
      <c r="B1423" s="4" t="s">
        <v>2</v>
      </c>
      <c r="C1423" s="4" t="s">
        <v>26</v>
      </c>
      <c r="D1423" s="4" t="s">
        <v>32</v>
      </c>
      <c r="E1423" s="4">
        <v>1</v>
      </c>
      <c r="F1423" s="4">
        <v>46720</v>
      </c>
      <c r="G1423" s="4">
        <v>46720</v>
      </c>
      <c r="H1423" s="4">
        <v>140518</v>
      </c>
      <c r="I1423" s="4"/>
      <c r="J1423" s="4"/>
      <c r="K1423" s="4"/>
      <c r="L1423" s="6">
        <f t="shared" si="22"/>
        <v>0.332484094564397</v>
      </c>
      <c r="M1423" s="4"/>
    </row>
    <row r="1424" spans="1:13">
      <c r="A1424" s="3">
        <v>45772</v>
      </c>
      <c r="B1424" s="4" t="s">
        <v>7</v>
      </c>
      <c r="C1424" s="4" t="s">
        <v>26</v>
      </c>
      <c r="D1424" s="4" t="s">
        <v>23</v>
      </c>
      <c r="E1424" s="4">
        <v>5</v>
      </c>
      <c r="F1424" s="4">
        <v>30646</v>
      </c>
      <c r="G1424" s="4">
        <v>153230</v>
      </c>
      <c r="H1424" s="4">
        <v>105332</v>
      </c>
      <c r="I1424" s="4"/>
      <c r="J1424" s="4"/>
      <c r="K1424" s="4"/>
      <c r="L1424" s="6">
        <f t="shared" si="22"/>
        <v>1.45473360422284</v>
      </c>
      <c r="M1424" s="4"/>
    </row>
    <row r="1425" spans="1:13">
      <c r="A1425" s="3">
        <v>45770</v>
      </c>
      <c r="B1425" s="4" t="s">
        <v>4</v>
      </c>
      <c r="C1425" s="4" t="s">
        <v>26</v>
      </c>
      <c r="D1425" s="4" t="s">
        <v>31</v>
      </c>
      <c r="E1425" s="4">
        <v>2</v>
      </c>
      <c r="F1425" s="4">
        <v>49216</v>
      </c>
      <c r="G1425" s="4">
        <v>98432</v>
      </c>
      <c r="H1425" s="4">
        <v>146328</v>
      </c>
      <c r="I1425" s="4"/>
      <c r="J1425" s="4"/>
      <c r="K1425" s="4"/>
      <c r="L1425" s="6">
        <f t="shared" si="22"/>
        <v>0.672680553277568</v>
      </c>
      <c r="M1425" s="4"/>
    </row>
    <row r="1426" spans="1:13">
      <c r="A1426" s="3">
        <v>45780</v>
      </c>
      <c r="B1426" s="4" t="s">
        <v>7</v>
      </c>
      <c r="C1426" s="4" t="s">
        <v>28</v>
      </c>
      <c r="D1426" s="4" t="s">
        <v>33</v>
      </c>
      <c r="E1426" s="4">
        <v>1</v>
      </c>
      <c r="F1426" s="4">
        <v>979</v>
      </c>
      <c r="G1426" s="4">
        <v>979</v>
      </c>
      <c r="H1426" s="4">
        <v>191293</v>
      </c>
      <c r="I1426" s="4"/>
      <c r="J1426" s="4"/>
      <c r="K1426" s="4"/>
      <c r="L1426" s="6">
        <f t="shared" si="22"/>
        <v>0.0051178035788032</v>
      </c>
      <c r="M1426" s="4"/>
    </row>
    <row r="1427" spans="1:13">
      <c r="A1427" s="3">
        <v>45792</v>
      </c>
      <c r="B1427" s="4" t="s">
        <v>8</v>
      </c>
      <c r="C1427" s="4" t="s">
        <v>24</v>
      </c>
      <c r="D1427" s="4" t="s">
        <v>25</v>
      </c>
      <c r="E1427" s="4">
        <v>1</v>
      </c>
      <c r="F1427" s="4">
        <v>21539</v>
      </c>
      <c r="G1427" s="4">
        <v>21539</v>
      </c>
      <c r="H1427" s="4">
        <v>5851</v>
      </c>
      <c r="I1427" s="4"/>
      <c r="J1427" s="4"/>
      <c r="K1427" s="4"/>
      <c r="L1427" s="6">
        <f t="shared" si="22"/>
        <v>3.68125106819347</v>
      </c>
      <c r="M1427" s="4"/>
    </row>
    <row r="1428" spans="1:13">
      <c r="A1428" s="3">
        <v>45743</v>
      </c>
      <c r="B1428" s="4" t="s">
        <v>6</v>
      </c>
      <c r="C1428" s="4" t="s">
        <v>28</v>
      </c>
      <c r="D1428" s="4" t="s">
        <v>31</v>
      </c>
      <c r="E1428" s="4">
        <v>8</v>
      </c>
      <c r="F1428" s="4">
        <v>47636</v>
      </c>
      <c r="G1428" s="4">
        <v>381088</v>
      </c>
      <c r="H1428" s="4">
        <v>131938</v>
      </c>
      <c r="I1428" s="4"/>
      <c r="J1428" s="4"/>
      <c r="K1428" s="4"/>
      <c r="L1428" s="6">
        <f t="shared" si="22"/>
        <v>2.88838696963725</v>
      </c>
      <c r="M1428" s="4"/>
    </row>
    <row r="1429" spans="1:13">
      <c r="A1429" s="3">
        <v>45778</v>
      </c>
      <c r="B1429" s="4" t="s">
        <v>8</v>
      </c>
      <c r="C1429" s="4" t="s">
        <v>28</v>
      </c>
      <c r="D1429" s="4" t="s">
        <v>33</v>
      </c>
      <c r="E1429" s="4">
        <v>6</v>
      </c>
      <c r="F1429" s="4">
        <v>46715</v>
      </c>
      <c r="G1429" s="4">
        <v>280290</v>
      </c>
      <c r="H1429" s="4">
        <v>134796</v>
      </c>
      <c r="I1429" s="4"/>
      <c r="J1429" s="4"/>
      <c r="K1429" s="4"/>
      <c r="L1429" s="6">
        <f t="shared" si="22"/>
        <v>2.07936437283005</v>
      </c>
      <c r="M1429" s="4"/>
    </row>
    <row r="1430" spans="1:13">
      <c r="A1430" s="3">
        <v>45680</v>
      </c>
      <c r="B1430" s="4" t="s">
        <v>8</v>
      </c>
      <c r="C1430" s="4" t="s">
        <v>26</v>
      </c>
      <c r="D1430" s="4" t="s">
        <v>23</v>
      </c>
      <c r="E1430" s="4">
        <v>5</v>
      </c>
      <c r="F1430" s="4">
        <v>41565</v>
      </c>
      <c r="G1430" s="4">
        <v>207825</v>
      </c>
      <c r="H1430" s="4">
        <v>104336</v>
      </c>
      <c r="I1430" s="4"/>
      <c r="J1430" s="4"/>
      <c r="K1430" s="4"/>
      <c r="L1430" s="6">
        <f t="shared" si="22"/>
        <v>1.99188199662628</v>
      </c>
      <c r="M1430" s="4"/>
    </row>
    <row r="1431" spans="1:13">
      <c r="A1431" s="3">
        <v>45811</v>
      </c>
      <c r="B1431" s="4" t="s">
        <v>3</v>
      </c>
      <c r="C1431" s="4" t="s">
        <v>28</v>
      </c>
      <c r="D1431" s="4" t="s">
        <v>30</v>
      </c>
      <c r="E1431" s="4">
        <v>2</v>
      </c>
      <c r="F1431" s="4">
        <v>47733</v>
      </c>
      <c r="G1431" s="4">
        <v>95466</v>
      </c>
      <c r="H1431" s="4">
        <v>31604</v>
      </c>
      <c r="I1431" s="4"/>
      <c r="J1431" s="4"/>
      <c r="K1431" s="4"/>
      <c r="L1431" s="6">
        <f t="shared" si="22"/>
        <v>3.02069358309075</v>
      </c>
      <c r="M1431" s="4"/>
    </row>
    <row r="1432" spans="1:13">
      <c r="A1432" s="3">
        <v>45766</v>
      </c>
      <c r="B1432" s="4" t="s">
        <v>2</v>
      </c>
      <c r="C1432" s="4" t="s">
        <v>24</v>
      </c>
      <c r="D1432" s="4" t="s">
        <v>33</v>
      </c>
      <c r="E1432" s="4">
        <v>10</v>
      </c>
      <c r="F1432" s="4">
        <v>44381</v>
      </c>
      <c r="G1432" s="4">
        <v>443810</v>
      </c>
      <c r="H1432" s="4">
        <v>60119</v>
      </c>
      <c r="I1432" s="4"/>
      <c r="J1432" s="4"/>
      <c r="K1432" s="4"/>
      <c r="L1432" s="6">
        <f t="shared" si="22"/>
        <v>7.38219198589464</v>
      </c>
      <c r="M1432" s="4"/>
    </row>
    <row r="1433" spans="1:13">
      <c r="A1433" s="3">
        <v>45716</v>
      </c>
      <c r="B1433" s="4" t="s">
        <v>6</v>
      </c>
      <c r="C1433" s="4" t="s">
        <v>22</v>
      </c>
      <c r="D1433" s="4" t="s">
        <v>31</v>
      </c>
      <c r="E1433" s="4">
        <v>7</v>
      </c>
      <c r="F1433" s="4">
        <v>33449</v>
      </c>
      <c r="G1433" s="4">
        <v>234143</v>
      </c>
      <c r="H1433" s="4">
        <v>164760</v>
      </c>
      <c r="I1433" s="4"/>
      <c r="J1433" s="4"/>
      <c r="K1433" s="4"/>
      <c r="L1433" s="6">
        <f t="shared" si="22"/>
        <v>1.42111556202962</v>
      </c>
      <c r="M1433" s="4"/>
    </row>
    <row r="1434" spans="1:13">
      <c r="A1434" s="3">
        <v>45725</v>
      </c>
      <c r="B1434" s="4" t="s">
        <v>6</v>
      </c>
      <c r="C1434" s="4" t="s">
        <v>24</v>
      </c>
      <c r="D1434" s="4" t="s">
        <v>30</v>
      </c>
      <c r="E1434" s="4">
        <v>2</v>
      </c>
      <c r="F1434" s="4">
        <v>46403</v>
      </c>
      <c r="G1434" s="4">
        <v>92806</v>
      </c>
      <c r="H1434" s="4">
        <v>30491</v>
      </c>
      <c r="I1434" s="4"/>
      <c r="J1434" s="4"/>
      <c r="K1434" s="4"/>
      <c r="L1434" s="6">
        <f t="shared" si="22"/>
        <v>3.04371781837263</v>
      </c>
      <c r="M1434" s="4"/>
    </row>
    <row r="1435" spans="1:13">
      <c r="A1435" s="3">
        <v>45722</v>
      </c>
      <c r="B1435" s="4" t="s">
        <v>2</v>
      </c>
      <c r="C1435" s="4" t="s">
        <v>24</v>
      </c>
      <c r="D1435" s="4" t="s">
        <v>32</v>
      </c>
      <c r="E1435" s="4">
        <v>8</v>
      </c>
      <c r="F1435" s="4">
        <v>4549</v>
      </c>
      <c r="G1435" s="4">
        <v>36392</v>
      </c>
      <c r="H1435" s="4">
        <v>146814</v>
      </c>
      <c r="I1435" s="4"/>
      <c r="J1435" s="4"/>
      <c r="K1435" s="4"/>
      <c r="L1435" s="6">
        <f t="shared" si="22"/>
        <v>0.247878267740134</v>
      </c>
      <c r="M1435" s="4"/>
    </row>
    <row r="1436" spans="1:13">
      <c r="A1436" s="3">
        <v>45838</v>
      </c>
      <c r="B1436" s="4" t="s">
        <v>5</v>
      </c>
      <c r="C1436" s="4" t="s">
        <v>24</v>
      </c>
      <c r="D1436" s="4" t="s">
        <v>25</v>
      </c>
      <c r="E1436" s="4">
        <v>7</v>
      </c>
      <c r="F1436" s="4">
        <v>4068</v>
      </c>
      <c r="G1436" s="4">
        <v>28476</v>
      </c>
      <c r="H1436" s="4">
        <v>173237</v>
      </c>
      <c r="I1436" s="4"/>
      <c r="J1436" s="4"/>
      <c r="K1436" s="4"/>
      <c r="L1436" s="6">
        <f t="shared" si="22"/>
        <v>0.164375970491292</v>
      </c>
      <c r="M1436" s="4"/>
    </row>
    <row r="1437" spans="1:13">
      <c r="A1437" s="3">
        <v>45665</v>
      </c>
      <c r="B1437" s="4" t="s">
        <v>5</v>
      </c>
      <c r="C1437" s="4" t="s">
        <v>24</v>
      </c>
      <c r="D1437" s="4" t="s">
        <v>30</v>
      </c>
      <c r="E1437" s="4">
        <v>8</v>
      </c>
      <c r="F1437" s="4">
        <v>2770</v>
      </c>
      <c r="G1437" s="4">
        <v>22160</v>
      </c>
      <c r="H1437" s="4">
        <v>89385</v>
      </c>
      <c r="I1437" s="4"/>
      <c r="J1437" s="4"/>
      <c r="K1437" s="4"/>
      <c r="L1437" s="6">
        <f t="shared" si="22"/>
        <v>0.247916317055434</v>
      </c>
      <c r="M1437" s="4"/>
    </row>
    <row r="1438" spans="1:13">
      <c r="A1438" s="3">
        <v>45785</v>
      </c>
      <c r="B1438" s="4" t="s">
        <v>7</v>
      </c>
      <c r="C1438" s="4" t="s">
        <v>28</v>
      </c>
      <c r="D1438" s="4" t="s">
        <v>27</v>
      </c>
      <c r="E1438" s="4">
        <v>3</v>
      </c>
      <c r="F1438" s="4">
        <v>12629</v>
      </c>
      <c r="G1438" s="4">
        <v>37887</v>
      </c>
      <c r="H1438" s="4">
        <v>162890</v>
      </c>
      <c r="I1438" s="4"/>
      <c r="J1438" s="4"/>
      <c r="K1438" s="4"/>
      <c r="L1438" s="6">
        <f t="shared" si="22"/>
        <v>0.232592547117687</v>
      </c>
      <c r="M1438" s="4"/>
    </row>
    <row r="1439" spans="1:13">
      <c r="A1439" s="3">
        <v>45708</v>
      </c>
      <c r="B1439" s="4" t="s">
        <v>8</v>
      </c>
      <c r="C1439" s="4" t="s">
        <v>24</v>
      </c>
      <c r="D1439" s="4" t="s">
        <v>33</v>
      </c>
      <c r="E1439" s="4">
        <v>6</v>
      </c>
      <c r="F1439" s="4">
        <v>23890</v>
      </c>
      <c r="G1439" s="4">
        <v>143340</v>
      </c>
      <c r="H1439" s="4">
        <v>142103</v>
      </c>
      <c r="I1439" s="4"/>
      <c r="J1439" s="4"/>
      <c r="K1439" s="4"/>
      <c r="L1439" s="6">
        <f t="shared" si="22"/>
        <v>1.00870495344926</v>
      </c>
      <c r="M1439" s="4"/>
    </row>
    <row r="1440" spans="1:13">
      <c r="A1440" s="3">
        <v>45808</v>
      </c>
      <c r="B1440" s="4" t="s">
        <v>5</v>
      </c>
      <c r="C1440" s="4" t="s">
        <v>24</v>
      </c>
      <c r="D1440" s="4" t="s">
        <v>27</v>
      </c>
      <c r="E1440" s="4">
        <v>6</v>
      </c>
      <c r="F1440" s="4">
        <v>39018</v>
      </c>
      <c r="G1440" s="4">
        <v>234108</v>
      </c>
      <c r="H1440" s="4">
        <v>111080</v>
      </c>
      <c r="I1440" s="4"/>
      <c r="J1440" s="4"/>
      <c r="K1440" s="4"/>
      <c r="L1440" s="6">
        <f t="shared" si="22"/>
        <v>2.10756211739287</v>
      </c>
      <c r="M1440" s="4"/>
    </row>
    <row r="1441" spans="1:13">
      <c r="A1441" s="3">
        <v>45666</v>
      </c>
      <c r="B1441" s="4" t="s">
        <v>4</v>
      </c>
      <c r="C1441" s="4" t="s">
        <v>24</v>
      </c>
      <c r="D1441" s="4" t="s">
        <v>23</v>
      </c>
      <c r="E1441" s="4">
        <v>9</v>
      </c>
      <c r="F1441" s="4">
        <v>39270</v>
      </c>
      <c r="G1441" s="4">
        <v>353430</v>
      </c>
      <c r="H1441" s="4">
        <v>174583</v>
      </c>
      <c r="I1441" s="4"/>
      <c r="J1441" s="4"/>
      <c r="K1441" s="4"/>
      <c r="L1441" s="6">
        <f t="shared" si="22"/>
        <v>2.02442391298122</v>
      </c>
      <c r="M1441" s="4"/>
    </row>
    <row r="1442" spans="1:13">
      <c r="A1442" s="3">
        <v>45776</v>
      </c>
      <c r="B1442" s="4" t="s">
        <v>7</v>
      </c>
      <c r="C1442" s="4" t="s">
        <v>28</v>
      </c>
      <c r="D1442" s="4" t="s">
        <v>31</v>
      </c>
      <c r="E1442" s="4">
        <v>5</v>
      </c>
      <c r="F1442" s="4">
        <v>31431</v>
      </c>
      <c r="G1442" s="4">
        <v>157155</v>
      </c>
      <c r="H1442" s="4">
        <v>139845</v>
      </c>
      <c r="I1442" s="4"/>
      <c r="J1442" s="4"/>
      <c r="K1442" s="4"/>
      <c r="L1442" s="6">
        <f t="shared" si="22"/>
        <v>1.12377989917409</v>
      </c>
      <c r="M1442" s="4"/>
    </row>
    <row r="1443" spans="1:13">
      <c r="A1443" s="3">
        <v>45666</v>
      </c>
      <c r="B1443" s="4" t="s">
        <v>6</v>
      </c>
      <c r="C1443" s="4" t="s">
        <v>22</v>
      </c>
      <c r="D1443" s="4" t="s">
        <v>23</v>
      </c>
      <c r="E1443" s="4">
        <v>6</v>
      </c>
      <c r="F1443" s="4">
        <v>18437</v>
      </c>
      <c r="G1443" s="4">
        <v>110622</v>
      </c>
      <c r="H1443" s="4">
        <v>16868</v>
      </c>
      <c r="I1443" s="4"/>
      <c r="J1443" s="4"/>
      <c r="K1443" s="4"/>
      <c r="L1443" s="6">
        <f t="shared" si="22"/>
        <v>6.55809817405739</v>
      </c>
      <c r="M1443" s="4"/>
    </row>
    <row r="1444" spans="1:13">
      <c r="A1444" s="3">
        <v>45770</v>
      </c>
      <c r="B1444" s="4" t="s">
        <v>5</v>
      </c>
      <c r="C1444" s="4" t="s">
        <v>28</v>
      </c>
      <c r="D1444" s="4" t="s">
        <v>31</v>
      </c>
      <c r="E1444" s="4">
        <v>9</v>
      </c>
      <c r="F1444" s="4">
        <v>14197</v>
      </c>
      <c r="G1444" s="4">
        <v>127773</v>
      </c>
      <c r="H1444" s="4">
        <v>128958</v>
      </c>
      <c r="I1444" s="4"/>
      <c r="J1444" s="4"/>
      <c r="K1444" s="4"/>
      <c r="L1444" s="6">
        <f t="shared" si="22"/>
        <v>0.990810961708463</v>
      </c>
      <c r="M1444" s="4"/>
    </row>
    <row r="1445" spans="1:13">
      <c r="A1445" s="3">
        <v>45733</v>
      </c>
      <c r="B1445" s="4" t="s">
        <v>7</v>
      </c>
      <c r="C1445" s="4" t="s">
        <v>26</v>
      </c>
      <c r="D1445" s="4" t="s">
        <v>29</v>
      </c>
      <c r="E1445" s="4">
        <v>5</v>
      </c>
      <c r="F1445" s="4">
        <v>23675</v>
      </c>
      <c r="G1445" s="4">
        <v>118375</v>
      </c>
      <c r="H1445" s="4">
        <v>87354</v>
      </c>
      <c r="I1445" s="4"/>
      <c r="J1445" s="4"/>
      <c r="K1445" s="4"/>
      <c r="L1445" s="6">
        <f t="shared" si="22"/>
        <v>1.35511825445887</v>
      </c>
      <c r="M1445" s="4"/>
    </row>
    <row r="1446" spans="1:13">
      <c r="A1446" s="3">
        <v>45829</v>
      </c>
      <c r="B1446" s="4" t="s">
        <v>6</v>
      </c>
      <c r="C1446" s="4" t="s">
        <v>28</v>
      </c>
      <c r="D1446" s="4" t="s">
        <v>29</v>
      </c>
      <c r="E1446" s="4">
        <v>9</v>
      </c>
      <c r="F1446" s="4">
        <v>25832</v>
      </c>
      <c r="G1446" s="4">
        <v>232488</v>
      </c>
      <c r="H1446" s="4">
        <v>174702</v>
      </c>
      <c r="I1446" s="4"/>
      <c r="J1446" s="4"/>
      <c r="K1446" s="4"/>
      <c r="L1446" s="6">
        <f t="shared" si="22"/>
        <v>1.3307689665831</v>
      </c>
      <c r="M1446" s="4"/>
    </row>
    <row r="1447" spans="1:13">
      <c r="A1447" s="3">
        <v>45781</v>
      </c>
      <c r="B1447" s="4" t="s">
        <v>8</v>
      </c>
      <c r="C1447" s="4" t="s">
        <v>22</v>
      </c>
      <c r="D1447" s="4" t="s">
        <v>23</v>
      </c>
      <c r="E1447" s="4">
        <v>6</v>
      </c>
      <c r="F1447" s="4">
        <v>6841</v>
      </c>
      <c r="G1447" s="4">
        <v>41046</v>
      </c>
      <c r="H1447" s="4">
        <v>85527</v>
      </c>
      <c r="I1447" s="4"/>
      <c r="J1447" s="4"/>
      <c r="K1447" s="4"/>
      <c r="L1447" s="6">
        <f t="shared" si="22"/>
        <v>0.479918622189484</v>
      </c>
      <c r="M1447" s="4"/>
    </row>
    <row r="1448" spans="1:13">
      <c r="A1448" s="3">
        <v>45739</v>
      </c>
      <c r="B1448" s="4" t="s">
        <v>7</v>
      </c>
      <c r="C1448" s="4" t="s">
        <v>26</v>
      </c>
      <c r="D1448" s="4" t="s">
        <v>25</v>
      </c>
      <c r="E1448" s="4">
        <v>3</v>
      </c>
      <c r="F1448" s="4">
        <v>755</v>
      </c>
      <c r="G1448" s="4">
        <v>2265</v>
      </c>
      <c r="H1448" s="4">
        <v>113759</v>
      </c>
      <c r="I1448" s="4"/>
      <c r="J1448" s="4"/>
      <c r="K1448" s="4"/>
      <c r="L1448" s="6">
        <f t="shared" si="22"/>
        <v>0.0199105125748292</v>
      </c>
      <c r="M1448" s="4"/>
    </row>
    <row r="1449" spans="1:13">
      <c r="A1449" s="3">
        <v>45815</v>
      </c>
      <c r="B1449" s="4" t="s">
        <v>3</v>
      </c>
      <c r="C1449" s="4" t="s">
        <v>26</v>
      </c>
      <c r="D1449" s="4" t="s">
        <v>29</v>
      </c>
      <c r="E1449" s="4">
        <v>8</v>
      </c>
      <c r="F1449" s="4">
        <v>17002</v>
      </c>
      <c r="G1449" s="4">
        <v>136016</v>
      </c>
      <c r="H1449" s="4">
        <v>3027</v>
      </c>
      <c r="I1449" s="4"/>
      <c r="J1449" s="4"/>
      <c r="K1449" s="4"/>
      <c r="L1449" s="6">
        <f t="shared" si="22"/>
        <v>44.9342583415923</v>
      </c>
      <c r="M1449" s="4"/>
    </row>
    <row r="1450" spans="1:13">
      <c r="A1450" s="3">
        <v>45822</v>
      </c>
      <c r="B1450" s="4" t="s">
        <v>6</v>
      </c>
      <c r="C1450" s="4" t="s">
        <v>24</v>
      </c>
      <c r="D1450" s="4" t="s">
        <v>27</v>
      </c>
      <c r="E1450" s="4">
        <v>8</v>
      </c>
      <c r="F1450" s="4">
        <v>3109</v>
      </c>
      <c r="G1450" s="4">
        <v>24872</v>
      </c>
      <c r="H1450" s="4">
        <v>104152</v>
      </c>
      <c r="I1450" s="4"/>
      <c r="J1450" s="4"/>
      <c r="K1450" s="4"/>
      <c r="L1450" s="6">
        <f t="shared" si="22"/>
        <v>0.23880482371918</v>
      </c>
      <c r="M1450" s="4"/>
    </row>
    <row r="1451" spans="1:13">
      <c r="A1451" s="3">
        <v>45666</v>
      </c>
      <c r="B1451" s="4" t="s">
        <v>2</v>
      </c>
      <c r="C1451" s="4" t="s">
        <v>26</v>
      </c>
      <c r="D1451" s="4" t="s">
        <v>32</v>
      </c>
      <c r="E1451" s="4">
        <v>10</v>
      </c>
      <c r="F1451" s="4">
        <v>23056</v>
      </c>
      <c r="G1451" s="4">
        <v>230560</v>
      </c>
      <c r="H1451" s="4">
        <v>11319</v>
      </c>
      <c r="I1451" s="4"/>
      <c r="J1451" s="4"/>
      <c r="K1451" s="4"/>
      <c r="L1451" s="6">
        <f t="shared" si="22"/>
        <v>20.3692905733722</v>
      </c>
      <c r="M1451" s="4"/>
    </row>
    <row r="1452" spans="1:13">
      <c r="A1452" s="3">
        <v>45831</v>
      </c>
      <c r="B1452" s="4" t="s">
        <v>3</v>
      </c>
      <c r="C1452" s="4" t="s">
        <v>28</v>
      </c>
      <c r="D1452" s="4" t="s">
        <v>33</v>
      </c>
      <c r="E1452" s="4">
        <v>5</v>
      </c>
      <c r="F1452" s="4">
        <v>29864</v>
      </c>
      <c r="G1452" s="4">
        <v>149320</v>
      </c>
      <c r="H1452" s="4">
        <v>85978</v>
      </c>
      <c r="I1452" s="4"/>
      <c r="J1452" s="4"/>
      <c r="K1452" s="4"/>
      <c r="L1452" s="6">
        <f t="shared" si="22"/>
        <v>1.73672334783317</v>
      </c>
      <c r="M1452" s="4"/>
    </row>
    <row r="1453" spans="1:13">
      <c r="A1453" s="3">
        <v>45702</v>
      </c>
      <c r="B1453" s="4" t="s">
        <v>6</v>
      </c>
      <c r="C1453" s="4" t="s">
        <v>22</v>
      </c>
      <c r="D1453" s="4" t="s">
        <v>23</v>
      </c>
      <c r="E1453" s="4">
        <v>10</v>
      </c>
      <c r="F1453" s="4">
        <v>34218</v>
      </c>
      <c r="G1453" s="4">
        <v>342180</v>
      </c>
      <c r="H1453" s="4">
        <v>76981</v>
      </c>
      <c r="I1453" s="4"/>
      <c r="J1453" s="4"/>
      <c r="K1453" s="4"/>
      <c r="L1453" s="6">
        <f t="shared" si="22"/>
        <v>4.44499292033099</v>
      </c>
      <c r="M1453" s="4"/>
    </row>
    <row r="1454" spans="1:13">
      <c r="A1454" s="3">
        <v>45788</v>
      </c>
      <c r="B1454" s="4" t="s">
        <v>5</v>
      </c>
      <c r="C1454" s="4" t="s">
        <v>22</v>
      </c>
      <c r="D1454" s="4" t="s">
        <v>29</v>
      </c>
      <c r="E1454" s="4">
        <v>7</v>
      </c>
      <c r="F1454" s="4">
        <v>33002</v>
      </c>
      <c r="G1454" s="4">
        <v>231014</v>
      </c>
      <c r="H1454" s="4">
        <v>26969</v>
      </c>
      <c r="I1454" s="4"/>
      <c r="J1454" s="4"/>
      <c r="K1454" s="4"/>
      <c r="L1454" s="6">
        <f t="shared" si="22"/>
        <v>8.56590900663725</v>
      </c>
      <c r="M1454" s="4"/>
    </row>
    <row r="1455" spans="1:13">
      <c r="A1455" s="3">
        <v>45691</v>
      </c>
      <c r="B1455" s="4" t="s">
        <v>3</v>
      </c>
      <c r="C1455" s="4" t="s">
        <v>26</v>
      </c>
      <c r="D1455" s="4" t="s">
        <v>30</v>
      </c>
      <c r="E1455" s="4">
        <v>5</v>
      </c>
      <c r="F1455" s="4">
        <v>46437</v>
      </c>
      <c r="G1455" s="4">
        <v>232185</v>
      </c>
      <c r="H1455" s="4">
        <v>163247</v>
      </c>
      <c r="I1455" s="4"/>
      <c r="J1455" s="4"/>
      <c r="K1455" s="4"/>
      <c r="L1455" s="6">
        <f t="shared" si="22"/>
        <v>1.42229259955773</v>
      </c>
      <c r="M1455" s="4"/>
    </row>
    <row r="1456" spans="1:13">
      <c r="A1456" s="3">
        <v>45775</v>
      </c>
      <c r="B1456" s="4" t="s">
        <v>4</v>
      </c>
      <c r="C1456" s="4" t="s">
        <v>26</v>
      </c>
      <c r="D1456" s="4" t="s">
        <v>23</v>
      </c>
      <c r="E1456" s="4">
        <v>1</v>
      </c>
      <c r="F1456" s="4">
        <v>33482</v>
      </c>
      <c r="G1456" s="4">
        <v>33482</v>
      </c>
      <c r="H1456" s="4">
        <v>167486</v>
      </c>
      <c r="I1456" s="4"/>
      <c r="J1456" s="4"/>
      <c r="K1456" s="4"/>
      <c r="L1456" s="6">
        <f t="shared" si="22"/>
        <v>0.199909246145947</v>
      </c>
      <c r="M1456" s="4"/>
    </row>
    <row r="1457" spans="1:13">
      <c r="A1457" s="3">
        <v>45717</v>
      </c>
      <c r="B1457" s="4" t="s">
        <v>2</v>
      </c>
      <c r="C1457" s="4" t="s">
        <v>22</v>
      </c>
      <c r="D1457" s="4" t="s">
        <v>25</v>
      </c>
      <c r="E1457" s="4">
        <v>10</v>
      </c>
      <c r="F1457" s="4">
        <v>44540</v>
      </c>
      <c r="G1457" s="4">
        <v>445400</v>
      </c>
      <c r="H1457" s="4">
        <v>106515</v>
      </c>
      <c r="I1457" s="4"/>
      <c r="J1457" s="4"/>
      <c r="K1457" s="4"/>
      <c r="L1457" s="6">
        <f t="shared" si="22"/>
        <v>4.18157067079754</v>
      </c>
      <c r="M1457" s="4"/>
    </row>
    <row r="1458" spans="1:13">
      <c r="A1458" s="3">
        <v>45836</v>
      </c>
      <c r="B1458" s="4" t="s">
        <v>6</v>
      </c>
      <c r="C1458" s="4" t="s">
        <v>26</v>
      </c>
      <c r="D1458" s="4" t="s">
        <v>29</v>
      </c>
      <c r="E1458" s="4">
        <v>10</v>
      </c>
      <c r="F1458" s="4">
        <v>44913</v>
      </c>
      <c r="G1458" s="4">
        <v>449130</v>
      </c>
      <c r="H1458" s="4">
        <v>82731</v>
      </c>
      <c r="I1458" s="4"/>
      <c r="J1458" s="4"/>
      <c r="K1458" s="4"/>
      <c r="L1458" s="6">
        <f t="shared" si="22"/>
        <v>5.428799361787</v>
      </c>
      <c r="M1458" s="4"/>
    </row>
    <row r="1459" spans="1:13">
      <c r="A1459" s="3">
        <v>45751</v>
      </c>
      <c r="B1459" s="4" t="s">
        <v>2</v>
      </c>
      <c r="C1459" s="4" t="s">
        <v>28</v>
      </c>
      <c r="D1459" s="4" t="s">
        <v>27</v>
      </c>
      <c r="E1459" s="4">
        <v>1</v>
      </c>
      <c r="F1459" s="4">
        <v>22822</v>
      </c>
      <c r="G1459" s="4">
        <v>22822</v>
      </c>
      <c r="H1459" s="4">
        <v>149645</v>
      </c>
      <c r="I1459" s="4"/>
      <c r="J1459" s="4"/>
      <c r="K1459" s="4"/>
      <c r="L1459" s="6">
        <f t="shared" si="22"/>
        <v>0.152507601323131</v>
      </c>
      <c r="M1459" s="4"/>
    </row>
    <row r="1460" spans="1:13">
      <c r="A1460" s="3">
        <v>45761</v>
      </c>
      <c r="B1460" s="4" t="s">
        <v>6</v>
      </c>
      <c r="C1460" s="4" t="s">
        <v>24</v>
      </c>
      <c r="D1460" s="4" t="s">
        <v>27</v>
      </c>
      <c r="E1460" s="4">
        <v>5</v>
      </c>
      <c r="F1460" s="4">
        <v>28576</v>
      </c>
      <c r="G1460" s="4">
        <v>142880</v>
      </c>
      <c r="H1460" s="4">
        <v>26307</v>
      </c>
      <c r="I1460" s="4"/>
      <c r="J1460" s="4"/>
      <c r="K1460" s="4"/>
      <c r="L1460" s="6">
        <f t="shared" si="22"/>
        <v>5.43125403884898</v>
      </c>
      <c r="M1460" s="4"/>
    </row>
    <row r="1461" spans="1:13">
      <c r="A1461" s="3">
        <v>45702</v>
      </c>
      <c r="B1461" s="4" t="s">
        <v>5</v>
      </c>
      <c r="C1461" s="4" t="s">
        <v>24</v>
      </c>
      <c r="D1461" s="4" t="s">
        <v>31</v>
      </c>
      <c r="E1461" s="4">
        <v>3</v>
      </c>
      <c r="F1461" s="4">
        <v>44169</v>
      </c>
      <c r="G1461" s="4">
        <v>132507</v>
      </c>
      <c r="H1461" s="4">
        <v>193602</v>
      </c>
      <c r="I1461" s="4"/>
      <c r="J1461" s="4"/>
      <c r="K1461" s="4"/>
      <c r="L1461" s="6">
        <f t="shared" si="22"/>
        <v>0.684429912914123</v>
      </c>
      <c r="M1461" s="4"/>
    </row>
    <row r="1462" spans="1:13">
      <c r="A1462" s="3">
        <v>45714</v>
      </c>
      <c r="B1462" s="4" t="s">
        <v>5</v>
      </c>
      <c r="C1462" s="4" t="s">
        <v>26</v>
      </c>
      <c r="D1462" s="4" t="s">
        <v>30</v>
      </c>
      <c r="E1462" s="4">
        <v>5</v>
      </c>
      <c r="F1462" s="4">
        <v>20709</v>
      </c>
      <c r="G1462" s="4">
        <v>103545</v>
      </c>
      <c r="H1462" s="4">
        <v>199283</v>
      </c>
      <c r="I1462" s="4"/>
      <c r="J1462" s="4"/>
      <c r="K1462" s="4"/>
      <c r="L1462" s="6">
        <f t="shared" si="22"/>
        <v>0.51958772198331</v>
      </c>
      <c r="M1462" s="4"/>
    </row>
    <row r="1463" spans="1:13">
      <c r="A1463" s="3">
        <v>45659</v>
      </c>
      <c r="B1463" s="4" t="s">
        <v>4</v>
      </c>
      <c r="C1463" s="4" t="s">
        <v>26</v>
      </c>
      <c r="D1463" s="4" t="s">
        <v>33</v>
      </c>
      <c r="E1463" s="4">
        <v>2</v>
      </c>
      <c r="F1463" s="4">
        <v>44663</v>
      </c>
      <c r="G1463" s="4">
        <v>89326</v>
      </c>
      <c r="H1463" s="4">
        <v>166332</v>
      </c>
      <c r="I1463" s="4"/>
      <c r="J1463" s="4"/>
      <c r="K1463" s="4"/>
      <c r="L1463" s="6">
        <f t="shared" si="22"/>
        <v>0.53703436500493</v>
      </c>
      <c r="M1463" s="4"/>
    </row>
    <row r="1464" spans="1:13">
      <c r="A1464" s="3">
        <v>45686</v>
      </c>
      <c r="B1464" s="4" t="s">
        <v>2</v>
      </c>
      <c r="C1464" s="4" t="s">
        <v>24</v>
      </c>
      <c r="D1464" s="4" t="s">
        <v>25</v>
      </c>
      <c r="E1464" s="4">
        <v>8</v>
      </c>
      <c r="F1464" s="4">
        <v>10256</v>
      </c>
      <c r="G1464" s="4">
        <v>82048</v>
      </c>
      <c r="H1464" s="4">
        <v>14094</v>
      </c>
      <c r="I1464" s="4"/>
      <c r="J1464" s="4"/>
      <c r="K1464" s="4"/>
      <c r="L1464" s="6">
        <f t="shared" si="22"/>
        <v>5.82148431956861</v>
      </c>
      <c r="M1464" s="4"/>
    </row>
    <row r="1465" spans="1:13">
      <c r="A1465" s="3">
        <v>45762</v>
      </c>
      <c r="B1465" s="4" t="s">
        <v>3</v>
      </c>
      <c r="C1465" s="4" t="s">
        <v>24</v>
      </c>
      <c r="D1465" s="4" t="s">
        <v>29</v>
      </c>
      <c r="E1465" s="4">
        <v>9</v>
      </c>
      <c r="F1465" s="4">
        <v>24108</v>
      </c>
      <c r="G1465" s="4">
        <v>216972</v>
      </c>
      <c r="H1465" s="4">
        <v>59217</v>
      </c>
      <c r="I1465" s="4"/>
      <c r="J1465" s="4"/>
      <c r="K1465" s="4"/>
      <c r="L1465" s="6">
        <f t="shared" si="22"/>
        <v>3.66401540098283</v>
      </c>
      <c r="M1465" s="4"/>
    </row>
    <row r="1466" spans="1:13">
      <c r="A1466" s="3">
        <v>45780</v>
      </c>
      <c r="B1466" s="4" t="s">
        <v>3</v>
      </c>
      <c r="C1466" s="4" t="s">
        <v>26</v>
      </c>
      <c r="D1466" s="4" t="s">
        <v>30</v>
      </c>
      <c r="E1466" s="4">
        <v>1</v>
      </c>
      <c r="F1466" s="4">
        <v>17439</v>
      </c>
      <c r="G1466" s="4">
        <v>17439</v>
      </c>
      <c r="H1466" s="4">
        <v>119134</v>
      </c>
      <c r="I1466" s="4"/>
      <c r="J1466" s="4"/>
      <c r="K1466" s="4"/>
      <c r="L1466" s="6">
        <f t="shared" si="22"/>
        <v>0.14638138566656</v>
      </c>
      <c r="M1466" s="4"/>
    </row>
    <row r="1467" spans="1:13">
      <c r="A1467" s="3">
        <v>45837</v>
      </c>
      <c r="B1467" s="4" t="s">
        <v>2</v>
      </c>
      <c r="C1467" s="4" t="s">
        <v>22</v>
      </c>
      <c r="D1467" s="4" t="s">
        <v>33</v>
      </c>
      <c r="E1467" s="4">
        <v>5</v>
      </c>
      <c r="F1467" s="4">
        <v>37222</v>
      </c>
      <c r="G1467" s="4">
        <v>186110</v>
      </c>
      <c r="H1467" s="4">
        <v>141606</v>
      </c>
      <c r="I1467" s="4"/>
      <c r="J1467" s="4"/>
      <c r="K1467" s="4"/>
      <c r="L1467" s="6">
        <f t="shared" si="22"/>
        <v>1.31428046834174</v>
      </c>
      <c r="M1467" s="4"/>
    </row>
    <row r="1468" spans="1:13">
      <c r="A1468" s="3">
        <v>45763</v>
      </c>
      <c r="B1468" s="4" t="s">
        <v>2</v>
      </c>
      <c r="C1468" s="4" t="s">
        <v>26</v>
      </c>
      <c r="D1468" s="4" t="s">
        <v>23</v>
      </c>
      <c r="E1468" s="4">
        <v>1</v>
      </c>
      <c r="F1468" s="4">
        <v>43599</v>
      </c>
      <c r="G1468" s="4">
        <v>43599</v>
      </c>
      <c r="H1468" s="4">
        <v>17522</v>
      </c>
      <c r="I1468" s="4"/>
      <c r="J1468" s="4"/>
      <c r="K1468" s="4"/>
      <c r="L1468" s="6">
        <f t="shared" si="22"/>
        <v>2.48824335121561</v>
      </c>
      <c r="M1468" s="4"/>
    </row>
    <row r="1469" spans="1:13">
      <c r="A1469" s="3">
        <v>45668</v>
      </c>
      <c r="B1469" s="4" t="s">
        <v>6</v>
      </c>
      <c r="C1469" s="4" t="s">
        <v>22</v>
      </c>
      <c r="D1469" s="4" t="s">
        <v>32</v>
      </c>
      <c r="E1469" s="4">
        <v>6</v>
      </c>
      <c r="F1469" s="4">
        <v>14591</v>
      </c>
      <c r="G1469" s="4">
        <v>87546</v>
      </c>
      <c r="H1469" s="4">
        <v>36908</v>
      </c>
      <c r="I1469" s="4"/>
      <c r="J1469" s="4"/>
      <c r="K1469" s="4"/>
      <c r="L1469" s="6">
        <f t="shared" si="22"/>
        <v>2.3720060691449</v>
      </c>
      <c r="M1469" s="4"/>
    </row>
    <row r="1470" spans="1:13">
      <c r="A1470" s="3">
        <v>45782</v>
      </c>
      <c r="B1470" s="4" t="s">
        <v>5</v>
      </c>
      <c r="C1470" s="4" t="s">
        <v>28</v>
      </c>
      <c r="D1470" s="4" t="s">
        <v>23</v>
      </c>
      <c r="E1470" s="4">
        <v>3</v>
      </c>
      <c r="F1470" s="4">
        <v>3069</v>
      </c>
      <c r="G1470" s="4">
        <v>9207</v>
      </c>
      <c r="H1470" s="4">
        <v>26830</v>
      </c>
      <c r="I1470" s="4"/>
      <c r="J1470" s="4"/>
      <c r="K1470" s="4"/>
      <c r="L1470" s="6">
        <f t="shared" si="22"/>
        <v>0.343160641073425</v>
      </c>
      <c r="M1470" s="4"/>
    </row>
    <row r="1471" spans="1:13">
      <c r="A1471" s="3">
        <v>45825</v>
      </c>
      <c r="B1471" s="4" t="s">
        <v>6</v>
      </c>
      <c r="C1471" s="4" t="s">
        <v>22</v>
      </c>
      <c r="D1471" s="4" t="s">
        <v>32</v>
      </c>
      <c r="E1471" s="4">
        <v>4</v>
      </c>
      <c r="F1471" s="4">
        <v>18792</v>
      </c>
      <c r="G1471" s="4">
        <v>75168</v>
      </c>
      <c r="H1471" s="4">
        <v>156836</v>
      </c>
      <c r="I1471" s="4"/>
      <c r="J1471" s="4"/>
      <c r="K1471" s="4"/>
      <c r="L1471" s="6">
        <f t="shared" si="22"/>
        <v>0.479277716850723</v>
      </c>
      <c r="M1471" s="4"/>
    </row>
    <row r="1472" spans="1:13">
      <c r="A1472" s="3">
        <v>45732</v>
      </c>
      <c r="B1472" s="4" t="s">
        <v>4</v>
      </c>
      <c r="C1472" s="4" t="s">
        <v>24</v>
      </c>
      <c r="D1472" s="4" t="s">
        <v>23</v>
      </c>
      <c r="E1472" s="4">
        <v>5</v>
      </c>
      <c r="F1472" s="4">
        <v>49451</v>
      </c>
      <c r="G1472" s="4">
        <v>247255</v>
      </c>
      <c r="H1472" s="4">
        <v>21239</v>
      </c>
      <c r="I1472" s="4"/>
      <c r="J1472" s="4"/>
      <c r="K1472" s="4"/>
      <c r="L1472" s="6">
        <f t="shared" si="22"/>
        <v>11.6415556287961</v>
      </c>
      <c r="M1472" s="4"/>
    </row>
    <row r="1473" spans="1:13">
      <c r="A1473" s="3">
        <v>45805</v>
      </c>
      <c r="B1473" s="4" t="s">
        <v>6</v>
      </c>
      <c r="C1473" s="4" t="s">
        <v>26</v>
      </c>
      <c r="D1473" s="4" t="s">
        <v>32</v>
      </c>
      <c r="E1473" s="4">
        <v>3</v>
      </c>
      <c r="F1473" s="4">
        <v>42199</v>
      </c>
      <c r="G1473" s="4">
        <v>126597</v>
      </c>
      <c r="H1473" s="4">
        <v>27199</v>
      </c>
      <c r="I1473" s="4"/>
      <c r="J1473" s="4"/>
      <c r="K1473" s="4"/>
      <c r="L1473" s="6">
        <f t="shared" si="22"/>
        <v>4.65447259090408</v>
      </c>
      <c r="M1473" s="4"/>
    </row>
    <row r="1474" spans="1:13">
      <c r="A1474" s="3">
        <v>45735</v>
      </c>
      <c r="B1474" s="4" t="s">
        <v>6</v>
      </c>
      <c r="C1474" s="4" t="s">
        <v>26</v>
      </c>
      <c r="D1474" s="4" t="s">
        <v>23</v>
      </c>
      <c r="E1474" s="4">
        <v>7</v>
      </c>
      <c r="F1474" s="4">
        <v>25275</v>
      </c>
      <c r="G1474" s="4">
        <v>176925</v>
      </c>
      <c r="H1474" s="4">
        <v>126623</v>
      </c>
      <c r="I1474" s="4"/>
      <c r="J1474" s="4"/>
      <c r="K1474" s="4"/>
      <c r="L1474" s="6">
        <f t="shared" si="22"/>
        <v>1.39725800210072</v>
      </c>
      <c r="M1474" s="4"/>
    </row>
    <row r="1475" spans="1:13">
      <c r="A1475" s="3">
        <v>45758</v>
      </c>
      <c r="B1475" s="4" t="s">
        <v>5</v>
      </c>
      <c r="C1475" s="4" t="s">
        <v>28</v>
      </c>
      <c r="D1475" s="4" t="s">
        <v>29</v>
      </c>
      <c r="E1475" s="4">
        <v>7</v>
      </c>
      <c r="F1475" s="4">
        <v>617</v>
      </c>
      <c r="G1475" s="4">
        <v>4319</v>
      </c>
      <c r="H1475" s="4">
        <v>123745</v>
      </c>
      <c r="I1475" s="4"/>
      <c r="J1475" s="4"/>
      <c r="K1475" s="4"/>
      <c r="L1475" s="6">
        <f t="shared" ref="L1475:L1538" si="23">G1475/H1475</f>
        <v>0.0349024202998101</v>
      </c>
      <c r="M1475" s="4"/>
    </row>
    <row r="1476" spans="1:13">
      <c r="A1476" s="3">
        <v>45799</v>
      </c>
      <c r="B1476" s="4" t="s">
        <v>5</v>
      </c>
      <c r="C1476" s="4" t="s">
        <v>24</v>
      </c>
      <c r="D1476" s="4" t="s">
        <v>27</v>
      </c>
      <c r="E1476" s="4">
        <v>8</v>
      </c>
      <c r="F1476" s="4">
        <v>28138</v>
      </c>
      <c r="G1476" s="4">
        <v>225104</v>
      </c>
      <c r="H1476" s="4">
        <v>16174</v>
      </c>
      <c r="I1476" s="4"/>
      <c r="J1476" s="4"/>
      <c r="K1476" s="4"/>
      <c r="L1476" s="6">
        <f t="shared" si="23"/>
        <v>13.9176456040559</v>
      </c>
      <c r="M1476" s="4"/>
    </row>
    <row r="1477" spans="1:13">
      <c r="A1477" s="3">
        <v>45699</v>
      </c>
      <c r="B1477" s="4" t="s">
        <v>4</v>
      </c>
      <c r="C1477" s="4" t="s">
        <v>26</v>
      </c>
      <c r="D1477" s="4" t="s">
        <v>23</v>
      </c>
      <c r="E1477" s="4">
        <v>5</v>
      </c>
      <c r="F1477" s="4">
        <v>5113</v>
      </c>
      <c r="G1477" s="4">
        <v>25565</v>
      </c>
      <c r="H1477" s="4">
        <v>137433</v>
      </c>
      <c r="I1477" s="4"/>
      <c r="J1477" s="4"/>
      <c r="K1477" s="4"/>
      <c r="L1477" s="6">
        <f t="shared" si="23"/>
        <v>0.186017914183639</v>
      </c>
      <c r="M1477" s="4"/>
    </row>
    <row r="1478" spans="1:13">
      <c r="A1478" s="3">
        <v>45829</v>
      </c>
      <c r="B1478" s="4" t="s">
        <v>2</v>
      </c>
      <c r="C1478" s="4" t="s">
        <v>24</v>
      </c>
      <c r="D1478" s="4" t="s">
        <v>30</v>
      </c>
      <c r="E1478" s="4">
        <v>7</v>
      </c>
      <c r="F1478" s="4">
        <v>37597</v>
      </c>
      <c r="G1478" s="4">
        <v>263179</v>
      </c>
      <c r="H1478" s="4">
        <v>140346</v>
      </c>
      <c r="I1478" s="4"/>
      <c r="J1478" s="4"/>
      <c r="K1478" s="4"/>
      <c r="L1478" s="6">
        <f t="shared" si="23"/>
        <v>1.87521553873997</v>
      </c>
      <c r="M1478" s="4"/>
    </row>
    <row r="1479" spans="1:13">
      <c r="A1479" s="3">
        <v>45785</v>
      </c>
      <c r="B1479" s="4" t="s">
        <v>7</v>
      </c>
      <c r="C1479" s="4" t="s">
        <v>24</v>
      </c>
      <c r="D1479" s="4" t="s">
        <v>33</v>
      </c>
      <c r="E1479" s="4">
        <v>2</v>
      </c>
      <c r="F1479" s="4">
        <v>4579</v>
      </c>
      <c r="G1479" s="4">
        <v>9158</v>
      </c>
      <c r="H1479" s="4">
        <v>167771</v>
      </c>
      <c r="I1479" s="4"/>
      <c r="J1479" s="4"/>
      <c r="K1479" s="4"/>
      <c r="L1479" s="6">
        <f t="shared" si="23"/>
        <v>0.0545863111026339</v>
      </c>
      <c r="M1479" s="4"/>
    </row>
    <row r="1480" spans="1:13">
      <c r="A1480" s="3">
        <v>45681</v>
      </c>
      <c r="B1480" s="4" t="s">
        <v>4</v>
      </c>
      <c r="C1480" s="4" t="s">
        <v>22</v>
      </c>
      <c r="D1480" s="4" t="s">
        <v>32</v>
      </c>
      <c r="E1480" s="4">
        <v>8</v>
      </c>
      <c r="F1480" s="4">
        <v>35878</v>
      </c>
      <c r="G1480" s="4">
        <v>287024</v>
      </c>
      <c r="H1480" s="4">
        <v>81065</v>
      </c>
      <c r="I1480" s="4"/>
      <c r="J1480" s="4"/>
      <c r="K1480" s="4"/>
      <c r="L1480" s="6">
        <f t="shared" si="23"/>
        <v>3.54066489853821</v>
      </c>
      <c r="M1480" s="4"/>
    </row>
    <row r="1481" spans="1:13">
      <c r="A1481" s="3">
        <v>45826</v>
      </c>
      <c r="B1481" s="4" t="s">
        <v>7</v>
      </c>
      <c r="C1481" s="4" t="s">
        <v>26</v>
      </c>
      <c r="D1481" s="4" t="s">
        <v>23</v>
      </c>
      <c r="E1481" s="4">
        <v>4</v>
      </c>
      <c r="F1481" s="4">
        <v>5837</v>
      </c>
      <c r="G1481" s="4">
        <v>23348</v>
      </c>
      <c r="H1481" s="4">
        <v>128121</v>
      </c>
      <c r="I1481" s="4"/>
      <c r="J1481" s="4"/>
      <c r="K1481" s="4"/>
      <c r="L1481" s="6">
        <f t="shared" si="23"/>
        <v>0.182233981938948</v>
      </c>
      <c r="M1481" s="4"/>
    </row>
    <row r="1482" spans="1:13">
      <c r="A1482" s="3">
        <v>45741</v>
      </c>
      <c r="B1482" s="4" t="s">
        <v>2</v>
      </c>
      <c r="C1482" s="4" t="s">
        <v>28</v>
      </c>
      <c r="D1482" s="4" t="s">
        <v>27</v>
      </c>
      <c r="E1482" s="4">
        <v>7</v>
      </c>
      <c r="F1482" s="4">
        <v>41101</v>
      </c>
      <c r="G1482" s="4">
        <v>287707</v>
      </c>
      <c r="H1482" s="4">
        <v>176610</v>
      </c>
      <c r="I1482" s="4"/>
      <c r="J1482" s="4"/>
      <c r="K1482" s="4"/>
      <c r="L1482" s="6">
        <f t="shared" si="23"/>
        <v>1.6290527150218</v>
      </c>
      <c r="M1482" s="4"/>
    </row>
    <row r="1483" spans="1:13">
      <c r="A1483" s="3">
        <v>45827</v>
      </c>
      <c r="B1483" s="4" t="s">
        <v>3</v>
      </c>
      <c r="C1483" s="4" t="s">
        <v>24</v>
      </c>
      <c r="D1483" s="4" t="s">
        <v>23</v>
      </c>
      <c r="E1483" s="4">
        <v>1</v>
      </c>
      <c r="F1483" s="4">
        <v>19050</v>
      </c>
      <c r="G1483" s="4">
        <v>19050</v>
      </c>
      <c r="H1483" s="4">
        <v>19390</v>
      </c>
      <c r="I1483" s="4"/>
      <c r="J1483" s="4"/>
      <c r="K1483" s="4"/>
      <c r="L1483" s="6">
        <f t="shared" si="23"/>
        <v>0.982465188241362</v>
      </c>
      <c r="M1483" s="4"/>
    </row>
    <row r="1484" spans="1:13">
      <c r="A1484" s="3">
        <v>45802</v>
      </c>
      <c r="B1484" s="4" t="s">
        <v>8</v>
      </c>
      <c r="C1484" s="4" t="s">
        <v>22</v>
      </c>
      <c r="D1484" s="4" t="s">
        <v>33</v>
      </c>
      <c r="E1484" s="4">
        <v>2</v>
      </c>
      <c r="F1484" s="4">
        <v>8033</v>
      </c>
      <c r="G1484" s="4">
        <v>16066</v>
      </c>
      <c r="H1484" s="4">
        <v>113963</v>
      </c>
      <c r="I1484" s="4"/>
      <c r="J1484" s="4"/>
      <c r="K1484" s="4"/>
      <c r="L1484" s="6">
        <f t="shared" si="23"/>
        <v>0.140975579793442</v>
      </c>
      <c r="M1484" s="4"/>
    </row>
    <row r="1485" spans="1:13">
      <c r="A1485" s="3">
        <v>45828</v>
      </c>
      <c r="B1485" s="4" t="s">
        <v>2</v>
      </c>
      <c r="C1485" s="4" t="s">
        <v>22</v>
      </c>
      <c r="D1485" s="4" t="s">
        <v>27</v>
      </c>
      <c r="E1485" s="4">
        <v>2</v>
      </c>
      <c r="F1485" s="4">
        <v>29177</v>
      </c>
      <c r="G1485" s="4">
        <v>58354</v>
      </c>
      <c r="H1485" s="4">
        <v>135606</v>
      </c>
      <c r="I1485" s="4"/>
      <c r="J1485" s="4"/>
      <c r="K1485" s="4"/>
      <c r="L1485" s="6">
        <f t="shared" si="23"/>
        <v>0.430320192321874</v>
      </c>
      <c r="M1485" s="4"/>
    </row>
    <row r="1486" spans="1:13">
      <c r="A1486" s="3">
        <v>45806</v>
      </c>
      <c r="B1486" s="4" t="s">
        <v>8</v>
      </c>
      <c r="C1486" s="4" t="s">
        <v>22</v>
      </c>
      <c r="D1486" s="4" t="s">
        <v>30</v>
      </c>
      <c r="E1486" s="4">
        <v>6</v>
      </c>
      <c r="F1486" s="4">
        <v>49174</v>
      </c>
      <c r="G1486" s="4">
        <v>295044</v>
      </c>
      <c r="H1486" s="4">
        <v>47751</v>
      </c>
      <c r="I1486" s="4"/>
      <c r="J1486" s="4"/>
      <c r="K1486" s="4"/>
      <c r="L1486" s="6">
        <f t="shared" si="23"/>
        <v>6.17880253816674</v>
      </c>
      <c r="M1486" s="4"/>
    </row>
    <row r="1487" spans="1:13">
      <c r="A1487" s="3">
        <v>45730</v>
      </c>
      <c r="B1487" s="4" t="s">
        <v>6</v>
      </c>
      <c r="C1487" s="4" t="s">
        <v>26</v>
      </c>
      <c r="D1487" s="4" t="s">
        <v>25</v>
      </c>
      <c r="E1487" s="4">
        <v>3</v>
      </c>
      <c r="F1487" s="4">
        <v>25033</v>
      </c>
      <c r="G1487" s="4">
        <v>75099</v>
      </c>
      <c r="H1487" s="4">
        <v>74880</v>
      </c>
      <c r="I1487" s="4"/>
      <c r="J1487" s="4"/>
      <c r="K1487" s="4"/>
      <c r="L1487" s="6">
        <f t="shared" si="23"/>
        <v>1.00292467948718</v>
      </c>
      <c r="M1487" s="4"/>
    </row>
    <row r="1488" spans="1:13">
      <c r="A1488" s="3">
        <v>45675</v>
      </c>
      <c r="B1488" s="4" t="s">
        <v>7</v>
      </c>
      <c r="C1488" s="4" t="s">
        <v>28</v>
      </c>
      <c r="D1488" s="4" t="s">
        <v>29</v>
      </c>
      <c r="E1488" s="4">
        <v>6</v>
      </c>
      <c r="F1488" s="4">
        <v>36416</v>
      </c>
      <c r="G1488" s="4">
        <v>218496</v>
      </c>
      <c r="H1488" s="4">
        <v>47755</v>
      </c>
      <c r="I1488" s="4"/>
      <c r="J1488" s="4"/>
      <c r="K1488" s="4"/>
      <c r="L1488" s="6">
        <f t="shared" si="23"/>
        <v>4.57535336613967</v>
      </c>
      <c r="M1488" s="4"/>
    </row>
    <row r="1489" spans="1:13">
      <c r="A1489" s="3">
        <v>45716</v>
      </c>
      <c r="B1489" s="4" t="s">
        <v>4</v>
      </c>
      <c r="C1489" s="4" t="s">
        <v>26</v>
      </c>
      <c r="D1489" s="4" t="s">
        <v>33</v>
      </c>
      <c r="E1489" s="4">
        <v>4</v>
      </c>
      <c r="F1489" s="4">
        <v>48253</v>
      </c>
      <c r="G1489" s="4">
        <v>193012</v>
      </c>
      <c r="H1489" s="4">
        <v>50586</v>
      </c>
      <c r="I1489" s="4"/>
      <c r="J1489" s="4"/>
      <c r="K1489" s="4"/>
      <c r="L1489" s="6">
        <f t="shared" si="23"/>
        <v>3.81552208120824</v>
      </c>
      <c r="M1489" s="4"/>
    </row>
    <row r="1490" spans="1:13">
      <c r="A1490" s="3">
        <v>45684</v>
      </c>
      <c r="B1490" s="4" t="s">
        <v>5</v>
      </c>
      <c r="C1490" s="4" t="s">
        <v>28</v>
      </c>
      <c r="D1490" s="4" t="s">
        <v>32</v>
      </c>
      <c r="E1490" s="4">
        <v>4</v>
      </c>
      <c r="F1490" s="4">
        <v>25823</v>
      </c>
      <c r="G1490" s="4">
        <v>103292</v>
      </c>
      <c r="H1490" s="4">
        <v>88334</v>
      </c>
      <c r="I1490" s="4"/>
      <c r="J1490" s="4"/>
      <c r="K1490" s="4"/>
      <c r="L1490" s="6">
        <f t="shared" si="23"/>
        <v>1.16933457105984</v>
      </c>
      <c r="M1490" s="4"/>
    </row>
    <row r="1491" spans="1:13">
      <c r="A1491" s="3">
        <v>45696</v>
      </c>
      <c r="B1491" s="4" t="s">
        <v>8</v>
      </c>
      <c r="C1491" s="4" t="s">
        <v>28</v>
      </c>
      <c r="D1491" s="4" t="s">
        <v>30</v>
      </c>
      <c r="E1491" s="4">
        <v>1</v>
      </c>
      <c r="F1491" s="4">
        <v>25079</v>
      </c>
      <c r="G1491" s="4">
        <v>25079</v>
      </c>
      <c r="H1491" s="4">
        <v>22913</v>
      </c>
      <c r="I1491" s="4"/>
      <c r="J1491" s="4"/>
      <c r="K1491" s="4"/>
      <c r="L1491" s="6">
        <f t="shared" si="23"/>
        <v>1.09453148867455</v>
      </c>
      <c r="M1491" s="4"/>
    </row>
    <row r="1492" spans="1:13">
      <c r="A1492" s="3">
        <v>45752</v>
      </c>
      <c r="B1492" s="4" t="s">
        <v>2</v>
      </c>
      <c r="C1492" s="4" t="s">
        <v>22</v>
      </c>
      <c r="D1492" s="4" t="s">
        <v>30</v>
      </c>
      <c r="E1492" s="4">
        <v>7</v>
      </c>
      <c r="F1492" s="4">
        <v>47315</v>
      </c>
      <c r="G1492" s="4">
        <v>331205</v>
      </c>
      <c r="H1492" s="4">
        <v>186828</v>
      </c>
      <c r="I1492" s="4"/>
      <c r="J1492" s="4"/>
      <c r="K1492" s="4"/>
      <c r="L1492" s="6">
        <f t="shared" si="23"/>
        <v>1.77278031130237</v>
      </c>
      <c r="M1492" s="4"/>
    </row>
    <row r="1493" spans="1:13">
      <c r="A1493" s="3">
        <v>45683</v>
      </c>
      <c r="B1493" s="4" t="s">
        <v>6</v>
      </c>
      <c r="C1493" s="4" t="s">
        <v>26</v>
      </c>
      <c r="D1493" s="4" t="s">
        <v>27</v>
      </c>
      <c r="E1493" s="4">
        <v>10</v>
      </c>
      <c r="F1493" s="4">
        <v>48116</v>
      </c>
      <c r="G1493" s="4">
        <v>481160</v>
      </c>
      <c r="H1493" s="4">
        <v>166404</v>
      </c>
      <c r="I1493" s="4"/>
      <c r="J1493" s="4"/>
      <c r="K1493" s="4"/>
      <c r="L1493" s="6">
        <f t="shared" si="23"/>
        <v>2.8915170308406</v>
      </c>
      <c r="M1493" s="4"/>
    </row>
    <row r="1494" spans="1:13">
      <c r="A1494" s="3">
        <v>45831</v>
      </c>
      <c r="B1494" s="4" t="s">
        <v>4</v>
      </c>
      <c r="C1494" s="4" t="s">
        <v>24</v>
      </c>
      <c r="D1494" s="4" t="s">
        <v>25</v>
      </c>
      <c r="E1494" s="4">
        <v>7</v>
      </c>
      <c r="F1494" s="4">
        <v>5782</v>
      </c>
      <c r="G1494" s="4">
        <v>40474</v>
      </c>
      <c r="H1494" s="4">
        <v>93301</v>
      </c>
      <c r="I1494" s="4"/>
      <c r="J1494" s="4"/>
      <c r="K1494" s="4"/>
      <c r="L1494" s="6">
        <f t="shared" si="23"/>
        <v>0.433800280811567</v>
      </c>
      <c r="M1494" s="4"/>
    </row>
    <row r="1495" spans="1:13">
      <c r="A1495" s="3">
        <v>45819</v>
      </c>
      <c r="B1495" s="4" t="s">
        <v>3</v>
      </c>
      <c r="C1495" s="4" t="s">
        <v>26</v>
      </c>
      <c r="D1495" s="4" t="s">
        <v>23</v>
      </c>
      <c r="E1495" s="4">
        <v>7</v>
      </c>
      <c r="F1495" s="4">
        <v>30271</v>
      </c>
      <c r="G1495" s="4">
        <v>211897</v>
      </c>
      <c r="H1495" s="4">
        <v>57336</v>
      </c>
      <c r="I1495" s="4"/>
      <c r="J1495" s="4"/>
      <c r="K1495" s="4"/>
      <c r="L1495" s="6">
        <f t="shared" si="23"/>
        <v>3.69570601367378</v>
      </c>
      <c r="M1495" s="4"/>
    </row>
    <row r="1496" spans="1:13">
      <c r="A1496" s="3">
        <v>45749</v>
      </c>
      <c r="B1496" s="4" t="s">
        <v>6</v>
      </c>
      <c r="C1496" s="4" t="s">
        <v>28</v>
      </c>
      <c r="D1496" s="4" t="s">
        <v>33</v>
      </c>
      <c r="E1496" s="4">
        <v>9</v>
      </c>
      <c r="F1496" s="4">
        <v>10795</v>
      </c>
      <c r="G1496" s="4">
        <v>97155</v>
      </c>
      <c r="H1496" s="4">
        <v>34568</v>
      </c>
      <c r="I1496" s="4"/>
      <c r="J1496" s="4"/>
      <c r="K1496" s="4"/>
      <c r="L1496" s="6">
        <f t="shared" si="23"/>
        <v>2.81054732700764</v>
      </c>
      <c r="M1496" s="4"/>
    </row>
    <row r="1497" spans="1:13">
      <c r="A1497" s="3">
        <v>45790</v>
      </c>
      <c r="B1497" s="4" t="s">
        <v>8</v>
      </c>
      <c r="C1497" s="4" t="s">
        <v>24</v>
      </c>
      <c r="D1497" s="4" t="s">
        <v>23</v>
      </c>
      <c r="E1497" s="4">
        <v>9</v>
      </c>
      <c r="F1497" s="4">
        <v>38436</v>
      </c>
      <c r="G1497" s="4">
        <v>345924</v>
      </c>
      <c r="H1497" s="4">
        <v>179914</v>
      </c>
      <c r="I1497" s="4"/>
      <c r="J1497" s="4"/>
      <c r="K1497" s="4"/>
      <c r="L1497" s="6">
        <f t="shared" si="23"/>
        <v>1.9227186322354</v>
      </c>
      <c r="M1497" s="4"/>
    </row>
    <row r="1498" spans="1:13">
      <c r="A1498" s="3">
        <v>45745</v>
      </c>
      <c r="B1498" s="4" t="s">
        <v>2</v>
      </c>
      <c r="C1498" s="4" t="s">
        <v>26</v>
      </c>
      <c r="D1498" s="4" t="s">
        <v>32</v>
      </c>
      <c r="E1498" s="4">
        <v>6</v>
      </c>
      <c r="F1498" s="4">
        <v>36696</v>
      </c>
      <c r="G1498" s="4">
        <v>220176</v>
      </c>
      <c r="H1498" s="4">
        <v>86255</v>
      </c>
      <c r="I1498" s="4"/>
      <c r="J1498" s="4"/>
      <c r="K1498" s="4"/>
      <c r="L1498" s="6">
        <f t="shared" si="23"/>
        <v>2.55261723958031</v>
      </c>
      <c r="M1498" s="4"/>
    </row>
    <row r="1499" spans="1:13">
      <c r="A1499" s="3">
        <v>45797</v>
      </c>
      <c r="B1499" s="4" t="s">
        <v>3</v>
      </c>
      <c r="C1499" s="4" t="s">
        <v>22</v>
      </c>
      <c r="D1499" s="4" t="s">
        <v>32</v>
      </c>
      <c r="E1499" s="4">
        <v>2</v>
      </c>
      <c r="F1499" s="4">
        <v>41151</v>
      </c>
      <c r="G1499" s="4">
        <v>82302</v>
      </c>
      <c r="H1499" s="4">
        <v>156615</v>
      </c>
      <c r="I1499" s="4"/>
      <c r="J1499" s="4"/>
      <c r="K1499" s="4"/>
      <c r="L1499" s="6">
        <f t="shared" si="23"/>
        <v>0.525505219806532</v>
      </c>
      <c r="M1499" s="4"/>
    </row>
    <row r="1500" spans="1:13">
      <c r="A1500" s="3">
        <v>45783</v>
      </c>
      <c r="B1500" s="4" t="s">
        <v>5</v>
      </c>
      <c r="C1500" s="4" t="s">
        <v>24</v>
      </c>
      <c r="D1500" s="4" t="s">
        <v>33</v>
      </c>
      <c r="E1500" s="4">
        <v>5</v>
      </c>
      <c r="F1500" s="4">
        <v>13336</v>
      </c>
      <c r="G1500" s="4">
        <v>66680</v>
      </c>
      <c r="H1500" s="4">
        <v>3224</v>
      </c>
      <c r="I1500" s="4"/>
      <c r="J1500" s="4"/>
      <c r="K1500" s="4"/>
      <c r="L1500" s="6">
        <f t="shared" si="23"/>
        <v>20.682382133995</v>
      </c>
      <c r="M1500" s="4"/>
    </row>
    <row r="1501" spans="1:13">
      <c r="A1501" s="3">
        <v>45687</v>
      </c>
      <c r="B1501" s="4" t="s">
        <v>5</v>
      </c>
      <c r="C1501" s="4" t="s">
        <v>26</v>
      </c>
      <c r="D1501" s="4" t="s">
        <v>33</v>
      </c>
      <c r="E1501" s="4">
        <v>5</v>
      </c>
      <c r="F1501" s="4">
        <v>46911</v>
      </c>
      <c r="G1501" s="4">
        <v>234555</v>
      </c>
      <c r="H1501" s="4">
        <v>111142</v>
      </c>
      <c r="I1501" s="4"/>
      <c r="J1501" s="4"/>
      <c r="K1501" s="4"/>
      <c r="L1501" s="6">
        <f t="shared" si="23"/>
        <v>2.1104083064908</v>
      </c>
      <c r="M1501" s="4"/>
    </row>
    <row r="1502" spans="1:13">
      <c r="A1502" s="3">
        <v>45735</v>
      </c>
      <c r="B1502" s="4" t="s">
        <v>8</v>
      </c>
      <c r="C1502" s="4" t="s">
        <v>26</v>
      </c>
      <c r="D1502" s="4" t="s">
        <v>30</v>
      </c>
      <c r="E1502" s="4">
        <v>1</v>
      </c>
      <c r="F1502" s="4">
        <v>29744</v>
      </c>
      <c r="G1502" s="4">
        <v>29744</v>
      </c>
      <c r="H1502" s="4">
        <v>195728</v>
      </c>
      <c r="I1502" s="4"/>
      <c r="J1502" s="4"/>
      <c r="K1502" s="4"/>
      <c r="L1502" s="6">
        <f t="shared" si="23"/>
        <v>0.151965993623804</v>
      </c>
      <c r="M1502" s="4"/>
    </row>
    <row r="1503" spans="1:13">
      <c r="A1503" s="3">
        <v>45670</v>
      </c>
      <c r="B1503" s="4" t="s">
        <v>8</v>
      </c>
      <c r="C1503" s="4" t="s">
        <v>28</v>
      </c>
      <c r="D1503" s="4" t="s">
        <v>27</v>
      </c>
      <c r="E1503" s="4">
        <v>10</v>
      </c>
      <c r="F1503" s="4">
        <v>8031</v>
      </c>
      <c r="G1503" s="4">
        <v>80310</v>
      </c>
      <c r="H1503" s="4">
        <v>62250</v>
      </c>
      <c r="I1503" s="4"/>
      <c r="J1503" s="4"/>
      <c r="K1503" s="4"/>
      <c r="L1503" s="6">
        <f t="shared" si="23"/>
        <v>1.29012048192771</v>
      </c>
      <c r="M1503" s="4"/>
    </row>
    <row r="1504" spans="1:13">
      <c r="A1504" s="3">
        <v>45669</v>
      </c>
      <c r="B1504" s="4" t="s">
        <v>4</v>
      </c>
      <c r="C1504" s="4" t="s">
        <v>28</v>
      </c>
      <c r="D1504" s="4" t="s">
        <v>27</v>
      </c>
      <c r="E1504" s="4">
        <v>2</v>
      </c>
      <c r="F1504" s="4">
        <v>11226</v>
      </c>
      <c r="G1504" s="4">
        <v>22452</v>
      </c>
      <c r="H1504" s="4">
        <v>93848</v>
      </c>
      <c r="I1504" s="4"/>
      <c r="J1504" s="4"/>
      <c r="K1504" s="4"/>
      <c r="L1504" s="6">
        <f t="shared" si="23"/>
        <v>0.239237916631148</v>
      </c>
      <c r="M1504" s="4"/>
    </row>
    <row r="1505" spans="1:13">
      <c r="A1505" s="3">
        <v>45756</v>
      </c>
      <c r="B1505" s="4" t="s">
        <v>3</v>
      </c>
      <c r="C1505" s="4" t="s">
        <v>26</v>
      </c>
      <c r="D1505" s="4" t="s">
        <v>29</v>
      </c>
      <c r="E1505" s="4">
        <v>2</v>
      </c>
      <c r="F1505" s="4">
        <v>23823</v>
      </c>
      <c r="G1505" s="4">
        <v>47646</v>
      </c>
      <c r="H1505" s="4">
        <v>36331</v>
      </c>
      <c r="I1505" s="4"/>
      <c r="J1505" s="4"/>
      <c r="K1505" s="4"/>
      <c r="L1505" s="6">
        <f t="shared" si="23"/>
        <v>1.31144201921224</v>
      </c>
      <c r="M1505" s="4"/>
    </row>
    <row r="1506" spans="1:13">
      <c r="A1506" s="3">
        <v>45763</v>
      </c>
      <c r="B1506" s="4" t="s">
        <v>8</v>
      </c>
      <c r="C1506" s="4" t="s">
        <v>26</v>
      </c>
      <c r="D1506" s="4" t="s">
        <v>32</v>
      </c>
      <c r="E1506" s="4">
        <v>6</v>
      </c>
      <c r="F1506" s="4">
        <v>17966</v>
      </c>
      <c r="G1506" s="4">
        <v>107796</v>
      </c>
      <c r="H1506" s="4">
        <v>24653</v>
      </c>
      <c r="I1506" s="4"/>
      <c r="J1506" s="4"/>
      <c r="K1506" s="4"/>
      <c r="L1506" s="6">
        <f t="shared" si="23"/>
        <v>4.37253072648359</v>
      </c>
      <c r="M1506" s="4"/>
    </row>
    <row r="1507" spans="1:13">
      <c r="A1507" s="3">
        <v>45812</v>
      </c>
      <c r="B1507" s="4" t="s">
        <v>3</v>
      </c>
      <c r="C1507" s="4" t="s">
        <v>24</v>
      </c>
      <c r="D1507" s="4" t="s">
        <v>33</v>
      </c>
      <c r="E1507" s="4">
        <v>8</v>
      </c>
      <c r="F1507" s="4">
        <v>41816</v>
      </c>
      <c r="G1507" s="4">
        <v>334528</v>
      </c>
      <c r="H1507" s="4">
        <v>102428</v>
      </c>
      <c r="I1507" s="4"/>
      <c r="J1507" s="4"/>
      <c r="K1507" s="4"/>
      <c r="L1507" s="6">
        <f t="shared" si="23"/>
        <v>3.26598195805834</v>
      </c>
      <c r="M1507" s="4"/>
    </row>
    <row r="1508" spans="1:13">
      <c r="A1508" s="3">
        <v>45713</v>
      </c>
      <c r="B1508" s="4" t="s">
        <v>2</v>
      </c>
      <c r="C1508" s="4" t="s">
        <v>22</v>
      </c>
      <c r="D1508" s="4" t="s">
        <v>29</v>
      </c>
      <c r="E1508" s="4">
        <v>6</v>
      </c>
      <c r="F1508" s="4">
        <v>32200</v>
      </c>
      <c r="G1508" s="4">
        <v>193200</v>
      </c>
      <c r="H1508" s="4">
        <v>132032</v>
      </c>
      <c r="I1508" s="4"/>
      <c r="J1508" s="4"/>
      <c r="K1508" s="4"/>
      <c r="L1508" s="6">
        <f t="shared" si="23"/>
        <v>1.46328162869607</v>
      </c>
      <c r="M1508" s="4"/>
    </row>
    <row r="1509" spans="1:13">
      <c r="A1509" s="3">
        <v>45805</v>
      </c>
      <c r="B1509" s="4" t="s">
        <v>2</v>
      </c>
      <c r="C1509" s="4" t="s">
        <v>26</v>
      </c>
      <c r="D1509" s="4" t="s">
        <v>33</v>
      </c>
      <c r="E1509" s="4">
        <v>9</v>
      </c>
      <c r="F1509" s="4">
        <v>19996</v>
      </c>
      <c r="G1509" s="4">
        <v>179964</v>
      </c>
      <c r="H1509" s="4">
        <v>36421</v>
      </c>
      <c r="I1509" s="4"/>
      <c r="J1509" s="4"/>
      <c r="K1509" s="4"/>
      <c r="L1509" s="6">
        <f t="shared" si="23"/>
        <v>4.94121523296999</v>
      </c>
      <c r="M1509" s="4"/>
    </row>
    <row r="1510" spans="1:13">
      <c r="A1510" s="3">
        <v>45752</v>
      </c>
      <c r="B1510" s="4" t="s">
        <v>5</v>
      </c>
      <c r="C1510" s="4" t="s">
        <v>24</v>
      </c>
      <c r="D1510" s="4" t="s">
        <v>33</v>
      </c>
      <c r="E1510" s="4">
        <v>8</v>
      </c>
      <c r="F1510" s="4">
        <v>1561</v>
      </c>
      <c r="G1510" s="4">
        <v>12488</v>
      </c>
      <c r="H1510" s="4">
        <v>22864</v>
      </c>
      <c r="I1510" s="4"/>
      <c r="J1510" s="4"/>
      <c r="K1510" s="4"/>
      <c r="L1510" s="6">
        <f t="shared" si="23"/>
        <v>0.546186144156753</v>
      </c>
      <c r="M1510" s="4"/>
    </row>
    <row r="1511" spans="1:13">
      <c r="A1511" s="3">
        <v>45761</v>
      </c>
      <c r="B1511" s="4" t="s">
        <v>2</v>
      </c>
      <c r="C1511" s="4" t="s">
        <v>22</v>
      </c>
      <c r="D1511" s="4" t="s">
        <v>27</v>
      </c>
      <c r="E1511" s="4">
        <v>9</v>
      </c>
      <c r="F1511" s="4">
        <v>22378</v>
      </c>
      <c r="G1511" s="4">
        <v>201402</v>
      </c>
      <c r="H1511" s="4">
        <v>164343</v>
      </c>
      <c r="I1511" s="4"/>
      <c r="J1511" s="4"/>
      <c r="K1511" s="4"/>
      <c r="L1511" s="6">
        <f t="shared" si="23"/>
        <v>1.22549789160475</v>
      </c>
      <c r="M1511" s="4"/>
    </row>
    <row r="1512" spans="1:13">
      <c r="A1512" s="3">
        <v>45754</v>
      </c>
      <c r="B1512" s="4" t="s">
        <v>4</v>
      </c>
      <c r="C1512" s="4" t="s">
        <v>22</v>
      </c>
      <c r="D1512" s="4" t="s">
        <v>27</v>
      </c>
      <c r="E1512" s="4">
        <v>4</v>
      </c>
      <c r="F1512" s="4">
        <v>13177</v>
      </c>
      <c r="G1512" s="4">
        <v>52708</v>
      </c>
      <c r="H1512" s="4">
        <v>45230</v>
      </c>
      <c r="I1512" s="4"/>
      <c r="J1512" s="4"/>
      <c r="K1512" s="4"/>
      <c r="L1512" s="6">
        <f t="shared" si="23"/>
        <v>1.16533274375415</v>
      </c>
      <c r="M1512" s="4"/>
    </row>
    <row r="1513" spans="1:13">
      <c r="A1513" s="3">
        <v>45748</v>
      </c>
      <c r="B1513" s="4" t="s">
        <v>4</v>
      </c>
      <c r="C1513" s="4" t="s">
        <v>28</v>
      </c>
      <c r="D1513" s="4" t="s">
        <v>27</v>
      </c>
      <c r="E1513" s="4">
        <v>9</v>
      </c>
      <c r="F1513" s="4">
        <v>13418</v>
      </c>
      <c r="G1513" s="4">
        <v>120762</v>
      </c>
      <c r="H1513" s="4">
        <v>185408</v>
      </c>
      <c r="I1513" s="4"/>
      <c r="J1513" s="4"/>
      <c r="K1513" s="4"/>
      <c r="L1513" s="6">
        <f t="shared" si="23"/>
        <v>0.651331118398343</v>
      </c>
      <c r="M1513" s="4"/>
    </row>
    <row r="1514" spans="1:13">
      <c r="A1514" s="3">
        <v>45729</v>
      </c>
      <c r="B1514" s="4" t="s">
        <v>5</v>
      </c>
      <c r="C1514" s="4" t="s">
        <v>24</v>
      </c>
      <c r="D1514" s="4" t="s">
        <v>25</v>
      </c>
      <c r="E1514" s="4">
        <v>8</v>
      </c>
      <c r="F1514" s="4">
        <v>37784</v>
      </c>
      <c r="G1514" s="4">
        <v>302272</v>
      </c>
      <c r="H1514" s="4">
        <v>133920</v>
      </c>
      <c r="I1514" s="4"/>
      <c r="J1514" s="4"/>
      <c r="K1514" s="4"/>
      <c r="L1514" s="6">
        <f t="shared" si="23"/>
        <v>2.25710872162485</v>
      </c>
      <c r="M1514" s="4"/>
    </row>
    <row r="1515" spans="1:13">
      <c r="A1515" s="3">
        <v>45760</v>
      </c>
      <c r="B1515" s="4" t="s">
        <v>8</v>
      </c>
      <c r="C1515" s="4" t="s">
        <v>24</v>
      </c>
      <c r="D1515" s="4" t="s">
        <v>25</v>
      </c>
      <c r="E1515" s="4">
        <v>3</v>
      </c>
      <c r="F1515" s="4">
        <v>38254</v>
      </c>
      <c r="G1515" s="4">
        <v>114762</v>
      </c>
      <c r="H1515" s="4">
        <v>145970</v>
      </c>
      <c r="I1515" s="4"/>
      <c r="J1515" s="4"/>
      <c r="K1515" s="4"/>
      <c r="L1515" s="6">
        <f t="shared" si="23"/>
        <v>0.786202644378982</v>
      </c>
      <c r="M1515" s="4"/>
    </row>
    <row r="1516" spans="1:13">
      <c r="A1516" s="3">
        <v>45688</v>
      </c>
      <c r="B1516" s="4" t="s">
        <v>2</v>
      </c>
      <c r="C1516" s="4" t="s">
        <v>24</v>
      </c>
      <c r="D1516" s="4" t="s">
        <v>32</v>
      </c>
      <c r="E1516" s="4">
        <v>9</v>
      </c>
      <c r="F1516" s="4">
        <v>30752</v>
      </c>
      <c r="G1516" s="4">
        <v>276768</v>
      </c>
      <c r="H1516" s="4">
        <v>49332</v>
      </c>
      <c r="I1516" s="4"/>
      <c r="J1516" s="4"/>
      <c r="K1516" s="4"/>
      <c r="L1516" s="6">
        <f t="shared" si="23"/>
        <v>5.61031379226466</v>
      </c>
      <c r="M1516" s="4"/>
    </row>
    <row r="1517" spans="1:13">
      <c r="A1517" s="3">
        <v>45716</v>
      </c>
      <c r="B1517" s="4" t="s">
        <v>7</v>
      </c>
      <c r="C1517" s="4" t="s">
        <v>22</v>
      </c>
      <c r="D1517" s="4" t="s">
        <v>23</v>
      </c>
      <c r="E1517" s="4">
        <v>10</v>
      </c>
      <c r="F1517" s="4">
        <v>35588</v>
      </c>
      <c r="G1517" s="4">
        <v>355880</v>
      </c>
      <c r="H1517" s="4">
        <v>130828</v>
      </c>
      <c r="I1517" s="4"/>
      <c r="J1517" s="4"/>
      <c r="K1517" s="4"/>
      <c r="L1517" s="6">
        <f t="shared" si="23"/>
        <v>2.72021279848351</v>
      </c>
      <c r="M1517" s="4"/>
    </row>
    <row r="1518" spans="1:13">
      <c r="A1518" s="3">
        <v>45738</v>
      </c>
      <c r="B1518" s="4" t="s">
        <v>2</v>
      </c>
      <c r="C1518" s="4" t="s">
        <v>26</v>
      </c>
      <c r="D1518" s="4" t="s">
        <v>33</v>
      </c>
      <c r="E1518" s="4">
        <v>6</v>
      </c>
      <c r="F1518" s="4">
        <v>42496</v>
      </c>
      <c r="G1518" s="4">
        <v>254976</v>
      </c>
      <c r="H1518" s="4">
        <v>6732</v>
      </c>
      <c r="I1518" s="4"/>
      <c r="J1518" s="4"/>
      <c r="K1518" s="4"/>
      <c r="L1518" s="6">
        <f t="shared" si="23"/>
        <v>37.8752228163993</v>
      </c>
      <c r="M1518" s="4"/>
    </row>
    <row r="1519" spans="1:13">
      <c r="A1519" s="3">
        <v>45754</v>
      </c>
      <c r="B1519" s="4" t="s">
        <v>4</v>
      </c>
      <c r="C1519" s="4" t="s">
        <v>28</v>
      </c>
      <c r="D1519" s="4" t="s">
        <v>30</v>
      </c>
      <c r="E1519" s="4">
        <v>2</v>
      </c>
      <c r="F1519" s="4">
        <v>41482</v>
      </c>
      <c r="G1519" s="4">
        <v>82964</v>
      </c>
      <c r="H1519" s="4">
        <v>163387</v>
      </c>
      <c r="I1519" s="4"/>
      <c r="J1519" s="4"/>
      <c r="K1519" s="4"/>
      <c r="L1519" s="6">
        <f t="shared" si="23"/>
        <v>0.507776016451737</v>
      </c>
      <c r="M1519" s="4"/>
    </row>
    <row r="1520" spans="1:13">
      <c r="A1520" s="3">
        <v>45814</v>
      </c>
      <c r="B1520" s="4" t="s">
        <v>7</v>
      </c>
      <c r="C1520" s="4" t="s">
        <v>26</v>
      </c>
      <c r="D1520" s="4" t="s">
        <v>30</v>
      </c>
      <c r="E1520" s="4">
        <v>9</v>
      </c>
      <c r="F1520" s="4">
        <v>31546</v>
      </c>
      <c r="G1520" s="4">
        <v>283914</v>
      </c>
      <c r="H1520" s="4">
        <v>136347</v>
      </c>
      <c r="I1520" s="4"/>
      <c r="J1520" s="4"/>
      <c r="K1520" s="4"/>
      <c r="L1520" s="6">
        <f t="shared" si="23"/>
        <v>2.0822900393848</v>
      </c>
      <c r="M1520" s="4"/>
    </row>
    <row r="1521" spans="1:13">
      <c r="A1521" s="3">
        <v>45779</v>
      </c>
      <c r="B1521" s="4" t="s">
        <v>6</v>
      </c>
      <c r="C1521" s="4" t="s">
        <v>24</v>
      </c>
      <c r="D1521" s="4" t="s">
        <v>33</v>
      </c>
      <c r="E1521" s="4">
        <v>10</v>
      </c>
      <c r="F1521" s="4">
        <v>8631</v>
      </c>
      <c r="G1521" s="4">
        <v>86310</v>
      </c>
      <c r="H1521" s="4">
        <v>156497</v>
      </c>
      <c r="I1521" s="4"/>
      <c r="J1521" s="4"/>
      <c r="K1521" s="4"/>
      <c r="L1521" s="6">
        <f t="shared" si="23"/>
        <v>0.551512169562356</v>
      </c>
      <c r="M1521" s="4"/>
    </row>
    <row r="1522" spans="1:13">
      <c r="A1522" s="3">
        <v>45790</v>
      </c>
      <c r="B1522" s="4" t="s">
        <v>3</v>
      </c>
      <c r="C1522" s="4" t="s">
        <v>26</v>
      </c>
      <c r="D1522" s="4" t="s">
        <v>29</v>
      </c>
      <c r="E1522" s="4">
        <v>7</v>
      </c>
      <c r="F1522" s="4">
        <v>41535</v>
      </c>
      <c r="G1522" s="4">
        <v>290745</v>
      </c>
      <c r="H1522" s="4">
        <v>169662</v>
      </c>
      <c r="I1522" s="4"/>
      <c r="J1522" s="4"/>
      <c r="K1522" s="4"/>
      <c r="L1522" s="6">
        <f t="shared" si="23"/>
        <v>1.71367188881423</v>
      </c>
      <c r="M1522" s="4"/>
    </row>
    <row r="1523" spans="1:13">
      <c r="A1523" s="3">
        <v>45754</v>
      </c>
      <c r="B1523" s="4" t="s">
        <v>3</v>
      </c>
      <c r="C1523" s="4" t="s">
        <v>26</v>
      </c>
      <c r="D1523" s="4" t="s">
        <v>30</v>
      </c>
      <c r="E1523" s="4">
        <v>5</v>
      </c>
      <c r="F1523" s="4">
        <v>45227</v>
      </c>
      <c r="G1523" s="4">
        <v>226135</v>
      </c>
      <c r="H1523" s="4">
        <v>97476</v>
      </c>
      <c r="I1523" s="4"/>
      <c r="J1523" s="4"/>
      <c r="K1523" s="4"/>
      <c r="L1523" s="6">
        <f t="shared" si="23"/>
        <v>2.31990438672083</v>
      </c>
      <c r="M1523" s="4"/>
    </row>
    <row r="1524" spans="1:13">
      <c r="A1524" s="3">
        <v>45758</v>
      </c>
      <c r="B1524" s="4" t="s">
        <v>4</v>
      </c>
      <c r="C1524" s="4" t="s">
        <v>28</v>
      </c>
      <c r="D1524" s="4" t="s">
        <v>25</v>
      </c>
      <c r="E1524" s="4">
        <v>1</v>
      </c>
      <c r="F1524" s="4">
        <v>49342</v>
      </c>
      <c r="G1524" s="4">
        <v>49342</v>
      </c>
      <c r="H1524" s="4">
        <v>66052</v>
      </c>
      <c r="I1524" s="4"/>
      <c r="J1524" s="4"/>
      <c r="K1524" s="4"/>
      <c r="L1524" s="6">
        <f t="shared" si="23"/>
        <v>0.747017501362563</v>
      </c>
      <c r="M1524" s="4"/>
    </row>
    <row r="1525" spans="1:13">
      <c r="A1525" s="3">
        <v>45790</v>
      </c>
      <c r="B1525" s="4" t="s">
        <v>4</v>
      </c>
      <c r="C1525" s="4" t="s">
        <v>28</v>
      </c>
      <c r="D1525" s="4" t="s">
        <v>25</v>
      </c>
      <c r="E1525" s="4">
        <v>7</v>
      </c>
      <c r="F1525" s="4">
        <v>46011</v>
      </c>
      <c r="G1525" s="4">
        <v>322077</v>
      </c>
      <c r="H1525" s="4">
        <v>52783</v>
      </c>
      <c r="I1525" s="4"/>
      <c r="J1525" s="4"/>
      <c r="K1525" s="4"/>
      <c r="L1525" s="6">
        <f t="shared" si="23"/>
        <v>6.1019078112271</v>
      </c>
      <c r="M1525" s="4"/>
    </row>
    <row r="1526" spans="1:13">
      <c r="A1526" s="3">
        <v>45806</v>
      </c>
      <c r="B1526" s="4" t="s">
        <v>7</v>
      </c>
      <c r="C1526" s="4" t="s">
        <v>26</v>
      </c>
      <c r="D1526" s="4" t="s">
        <v>23</v>
      </c>
      <c r="E1526" s="4">
        <v>4</v>
      </c>
      <c r="F1526" s="4">
        <v>40671</v>
      </c>
      <c r="G1526" s="4">
        <v>162684</v>
      </c>
      <c r="H1526" s="4">
        <v>189553</v>
      </c>
      <c r="I1526" s="4"/>
      <c r="J1526" s="4"/>
      <c r="K1526" s="4"/>
      <c r="L1526" s="6">
        <f t="shared" si="23"/>
        <v>0.85825072670968</v>
      </c>
      <c r="M1526" s="4"/>
    </row>
    <row r="1527" spans="1:13">
      <c r="A1527" s="3">
        <v>45732</v>
      </c>
      <c r="B1527" s="4" t="s">
        <v>5</v>
      </c>
      <c r="C1527" s="4" t="s">
        <v>26</v>
      </c>
      <c r="D1527" s="4" t="s">
        <v>29</v>
      </c>
      <c r="E1527" s="4">
        <v>7</v>
      </c>
      <c r="F1527" s="4">
        <v>43143</v>
      </c>
      <c r="G1527" s="4">
        <v>302001</v>
      </c>
      <c r="H1527" s="4">
        <v>129640</v>
      </c>
      <c r="I1527" s="4"/>
      <c r="J1527" s="4"/>
      <c r="K1527" s="4"/>
      <c r="L1527" s="6">
        <f t="shared" si="23"/>
        <v>2.32953563714903</v>
      </c>
      <c r="M1527" s="4"/>
    </row>
    <row r="1528" spans="1:13">
      <c r="A1528" s="3">
        <v>45776</v>
      </c>
      <c r="B1528" s="4" t="s">
        <v>6</v>
      </c>
      <c r="C1528" s="4" t="s">
        <v>28</v>
      </c>
      <c r="D1528" s="4" t="s">
        <v>33</v>
      </c>
      <c r="E1528" s="4">
        <v>10</v>
      </c>
      <c r="F1528" s="4">
        <v>42152</v>
      </c>
      <c r="G1528" s="4">
        <v>421520</v>
      </c>
      <c r="H1528" s="4">
        <v>91886</v>
      </c>
      <c r="I1528" s="4"/>
      <c r="J1528" s="4"/>
      <c r="K1528" s="4"/>
      <c r="L1528" s="6">
        <f t="shared" si="23"/>
        <v>4.58742354656857</v>
      </c>
      <c r="M1528" s="4"/>
    </row>
    <row r="1529" spans="1:13">
      <c r="A1529" s="3">
        <v>45706</v>
      </c>
      <c r="B1529" s="4" t="s">
        <v>7</v>
      </c>
      <c r="C1529" s="4" t="s">
        <v>24</v>
      </c>
      <c r="D1529" s="4" t="s">
        <v>25</v>
      </c>
      <c r="E1529" s="4">
        <v>9</v>
      </c>
      <c r="F1529" s="4">
        <v>26931</v>
      </c>
      <c r="G1529" s="4">
        <v>242379</v>
      </c>
      <c r="H1529" s="4">
        <v>140243</v>
      </c>
      <c r="I1529" s="4"/>
      <c r="J1529" s="4"/>
      <c r="K1529" s="4"/>
      <c r="L1529" s="6">
        <f t="shared" si="23"/>
        <v>1.72827877327211</v>
      </c>
      <c r="M1529" s="4"/>
    </row>
    <row r="1530" spans="1:13">
      <c r="A1530" s="3">
        <v>45702</v>
      </c>
      <c r="B1530" s="4" t="s">
        <v>7</v>
      </c>
      <c r="C1530" s="4" t="s">
        <v>22</v>
      </c>
      <c r="D1530" s="4" t="s">
        <v>30</v>
      </c>
      <c r="E1530" s="4">
        <v>10</v>
      </c>
      <c r="F1530" s="4">
        <v>42763</v>
      </c>
      <c r="G1530" s="4">
        <v>427630</v>
      </c>
      <c r="H1530" s="4">
        <v>183529</v>
      </c>
      <c r="I1530" s="4"/>
      <c r="J1530" s="4"/>
      <c r="K1530" s="4"/>
      <c r="L1530" s="6">
        <f t="shared" si="23"/>
        <v>2.33004048406519</v>
      </c>
      <c r="M1530" s="4"/>
    </row>
    <row r="1531" spans="1:13">
      <c r="A1531" s="3">
        <v>45725</v>
      </c>
      <c r="B1531" s="4" t="s">
        <v>2</v>
      </c>
      <c r="C1531" s="4" t="s">
        <v>24</v>
      </c>
      <c r="D1531" s="4" t="s">
        <v>23</v>
      </c>
      <c r="E1531" s="4">
        <v>7</v>
      </c>
      <c r="F1531" s="4">
        <v>11012</v>
      </c>
      <c r="G1531" s="4">
        <v>77084</v>
      </c>
      <c r="H1531" s="4">
        <v>134144</v>
      </c>
      <c r="I1531" s="4"/>
      <c r="J1531" s="4"/>
      <c r="K1531" s="4"/>
      <c r="L1531" s="6">
        <f t="shared" si="23"/>
        <v>0.574636211832061</v>
      </c>
      <c r="M1531" s="4"/>
    </row>
    <row r="1532" spans="1:13">
      <c r="A1532" s="3">
        <v>45709</v>
      </c>
      <c r="B1532" s="4" t="s">
        <v>6</v>
      </c>
      <c r="C1532" s="4" t="s">
        <v>26</v>
      </c>
      <c r="D1532" s="4" t="s">
        <v>33</v>
      </c>
      <c r="E1532" s="4">
        <v>5</v>
      </c>
      <c r="F1532" s="4">
        <v>5913</v>
      </c>
      <c r="G1532" s="4">
        <v>29565</v>
      </c>
      <c r="H1532" s="4">
        <v>105928</v>
      </c>
      <c r="I1532" s="4"/>
      <c r="J1532" s="4"/>
      <c r="K1532" s="4"/>
      <c r="L1532" s="6">
        <f t="shared" si="23"/>
        <v>0.279104674873499</v>
      </c>
      <c r="M1532" s="4"/>
    </row>
    <row r="1533" spans="1:13">
      <c r="A1533" s="3">
        <v>45683</v>
      </c>
      <c r="B1533" s="4" t="s">
        <v>2</v>
      </c>
      <c r="C1533" s="4" t="s">
        <v>26</v>
      </c>
      <c r="D1533" s="4" t="s">
        <v>32</v>
      </c>
      <c r="E1533" s="4">
        <v>1</v>
      </c>
      <c r="F1533" s="4">
        <v>45613</v>
      </c>
      <c r="G1533" s="4">
        <v>45613</v>
      </c>
      <c r="H1533" s="4">
        <v>56329</v>
      </c>
      <c r="I1533" s="4"/>
      <c r="J1533" s="4"/>
      <c r="K1533" s="4"/>
      <c r="L1533" s="6">
        <f t="shared" si="23"/>
        <v>0.809760514122388</v>
      </c>
      <c r="M1533" s="4"/>
    </row>
    <row r="1534" spans="1:13">
      <c r="A1534" s="3">
        <v>45784</v>
      </c>
      <c r="B1534" s="4" t="s">
        <v>4</v>
      </c>
      <c r="C1534" s="4" t="s">
        <v>24</v>
      </c>
      <c r="D1534" s="4" t="s">
        <v>32</v>
      </c>
      <c r="E1534" s="4">
        <v>8</v>
      </c>
      <c r="F1534" s="4">
        <v>24145</v>
      </c>
      <c r="G1534" s="4">
        <v>193160</v>
      </c>
      <c r="H1534" s="4">
        <v>94164</v>
      </c>
      <c r="I1534" s="4"/>
      <c r="J1534" s="4"/>
      <c r="K1534" s="4"/>
      <c r="L1534" s="6">
        <f t="shared" si="23"/>
        <v>2.05131472749671</v>
      </c>
      <c r="M1534" s="4"/>
    </row>
    <row r="1535" spans="1:13">
      <c r="A1535" s="3">
        <v>45776</v>
      </c>
      <c r="B1535" s="4" t="s">
        <v>7</v>
      </c>
      <c r="C1535" s="4" t="s">
        <v>28</v>
      </c>
      <c r="D1535" s="4" t="s">
        <v>30</v>
      </c>
      <c r="E1535" s="4">
        <v>4</v>
      </c>
      <c r="F1535" s="4">
        <v>18094</v>
      </c>
      <c r="G1535" s="4">
        <v>72376</v>
      </c>
      <c r="H1535" s="4">
        <v>61249</v>
      </c>
      <c r="I1535" s="4"/>
      <c r="J1535" s="4"/>
      <c r="K1535" s="4"/>
      <c r="L1535" s="6">
        <f t="shared" si="23"/>
        <v>1.18166827213506</v>
      </c>
      <c r="M1535" s="4"/>
    </row>
    <row r="1536" spans="1:13">
      <c r="A1536" s="3">
        <v>45806</v>
      </c>
      <c r="B1536" s="4" t="s">
        <v>7</v>
      </c>
      <c r="C1536" s="4" t="s">
        <v>26</v>
      </c>
      <c r="D1536" s="4" t="s">
        <v>25</v>
      </c>
      <c r="E1536" s="4">
        <v>10</v>
      </c>
      <c r="F1536" s="4">
        <v>29810</v>
      </c>
      <c r="G1536" s="4">
        <v>298100</v>
      </c>
      <c r="H1536" s="4">
        <v>32144</v>
      </c>
      <c r="I1536" s="4"/>
      <c r="J1536" s="4"/>
      <c r="K1536" s="4"/>
      <c r="L1536" s="6">
        <f t="shared" si="23"/>
        <v>9.2738924838228</v>
      </c>
      <c r="M1536" s="4"/>
    </row>
    <row r="1537" spans="1:13">
      <c r="A1537" s="3">
        <v>45762</v>
      </c>
      <c r="B1537" s="4" t="s">
        <v>2</v>
      </c>
      <c r="C1537" s="4" t="s">
        <v>24</v>
      </c>
      <c r="D1537" s="4" t="s">
        <v>23</v>
      </c>
      <c r="E1537" s="4">
        <v>1</v>
      </c>
      <c r="F1537" s="4">
        <v>33113</v>
      </c>
      <c r="G1537" s="4">
        <v>33113</v>
      </c>
      <c r="H1537" s="4">
        <v>96259</v>
      </c>
      <c r="I1537" s="4"/>
      <c r="J1537" s="4"/>
      <c r="K1537" s="4"/>
      <c r="L1537" s="6">
        <f t="shared" si="23"/>
        <v>0.343999002690657</v>
      </c>
      <c r="M1537" s="4"/>
    </row>
    <row r="1538" spans="1:13">
      <c r="A1538" s="3">
        <v>45816</v>
      </c>
      <c r="B1538" s="4" t="s">
        <v>8</v>
      </c>
      <c r="C1538" s="4" t="s">
        <v>26</v>
      </c>
      <c r="D1538" s="4" t="s">
        <v>25</v>
      </c>
      <c r="E1538" s="4">
        <v>1</v>
      </c>
      <c r="F1538" s="4">
        <v>16313</v>
      </c>
      <c r="G1538" s="4">
        <v>16313</v>
      </c>
      <c r="H1538" s="4">
        <v>195967</v>
      </c>
      <c r="I1538" s="4"/>
      <c r="J1538" s="4"/>
      <c r="K1538" s="4"/>
      <c r="L1538" s="6">
        <f t="shared" si="23"/>
        <v>0.0832436073420525</v>
      </c>
      <c r="M1538" s="4"/>
    </row>
    <row r="1539" spans="1:13">
      <c r="A1539" s="3">
        <v>45824</v>
      </c>
      <c r="B1539" s="4" t="s">
        <v>8</v>
      </c>
      <c r="C1539" s="4" t="s">
        <v>28</v>
      </c>
      <c r="D1539" s="4" t="s">
        <v>32</v>
      </c>
      <c r="E1539" s="4">
        <v>3</v>
      </c>
      <c r="F1539" s="4">
        <v>17623</v>
      </c>
      <c r="G1539" s="4">
        <v>52869</v>
      </c>
      <c r="H1539" s="4">
        <v>46939</v>
      </c>
      <c r="I1539" s="4"/>
      <c r="J1539" s="4"/>
      <c r="K1539" s="4"/>
      <c r="L1539" s="6">
        <f t="shared" ref="L1539:L1602" si="24">G1539/H1539</f>
        <v>1.12633417840176</v>
      </c>
      <c r="M1539" s="4"/>
    </row>
    <row r="1540" spans="1:13">
      <c r="A1540" s="3">
        <v>45714</v>
      </c>
      <c r="B1540" s="4" t="s">
        <v>4</v>
      </c>
      <c r="C1540" s="4" t="s">
        <v>26</v>
      </c>
      <c r="D1540" s="4" t="s">
        <v>31</v>
      </c>
      <c r="E1540" s="4">
        <v>9</v>
      </c>
      <c r="F1540" s="4">
        <v>11420</v>
      </c>
      <c r="G1540" s="4">
        <v>102780</v>
      </c>
      <c r="H1540" s="4">
        <v>84574</v>
      </c>
      <c r="I1540" s="4"/>
      <c r="J1540" s="4"/>
      <c r="K1540" s="4"/>
      <c r="L1540" s="6">
        <f t="shared" si="24"/>
        <v>1.2152671033651</v>
      </c>
      <c r="M1540" s="4"/>
    </row>
    <row r="1541" spans="1:13">
      <c r="A1541" s="3">
        <v>45753</v>
      </c>
      <c r="B1541" s="4" t="s">
        <v>6</v>
      </c>
      <c r="C1541" s="4" t="s">
        <v>26</v>
      </c>
      <c r="D1541" s="4" t="s">
        <v>32</v>
      </c>
      <c r="E1541" s="4">
        <v>4</v>
      </c>
      <c r="F1541" s="4">
        <v>6818</v>
      </c>
      <c r="G1541" s="4">
        <v>27272</v>
      </c>
      <c r="H1541" s="4">
        <v>110149</v>
      </c>
      <c r="I1541" s="4"/>
      <c r="J1541" s="4"/>
      <c r="K1541" s="4"/>
      <c r="L1541" s="6">
        <f t="shared" si="24"/>
        <v>0.24759189824692</v>
      </c>
      <c r="M1541" s="4"/>
    </row>
    <row r="1542" spans="1:13">
      <c r="A1542" s="3">
        <v>45807</v>
      </c>
      <c r="B1542" s="4" t="s">
        <v>7</v>
      </c>
      <c r="C1542" s="4" t="s">
        <v>26</v>
      </c>
      <c r="D1542" s="4" t="s">
        <v>25</v>
      </c>
      <c r="E1542" s="4">
        <v>2</v>
      </c>
      <c r="F1542" s="4">
        <v>3877</v>
      </c>
      <c r="G1542" s="4">
        <v>7754</v>
      </c>
      <c r="H1542" s="4">
        <v>195429</v>
      </c>
      <c r="I1542" s="4"/>
      <c r="J1542" s="4"/>
      <c r="K1542" s="4"/>
      <c r="L1542" s="6">
        <f t="shared" si="24"/>
        <v>0.0396768135742392</v>
      </c>
      <c r="M1542" s="4"/>
    </row>
    <row r="1543" spans="1:13">
      <c r="A1543" s="3">
        <v>45819</v>
      </c>
      <c r="B1543" s="4" t="s">
        <v>3</v>
      </c>
      <c r="C1543" s="4" t="s">
        <v>28</v>
      </c>
      <c r="D1543" s="4" t="s">
        <v>25</v>
      </c>
      <c r="E1543" s="4">
        <v>4</v>
      </c>
      <c r="F1543" s="4">
        <v>49987</v>
      </c>
      <c r="G1543" s="4">
        <v>199948</v>
      </c>
      <c r="H1543" s="4">
        <v>186793</v>
      </c>
      <c r="I1543" s="4"/>
      <c r="J1543" s="4"/>
      <c r="K1543" s="4"/>
      <c r="L1543" s="6">
        <f t="shared" si="24"/>
        <v>1.07042555127869</v>
      </c>
      <c r="M1543" s="4"/>
    </row>
    <row r="1544" spans="1:13">
      <c r="A1544" s="3">
        <v>45822</v>
      </c>
      <c r="B1544" s="4" t="s">
        <v>8</v>
      </c>
      <c r="C1544" s="4" t="s">
        <v>28</v>
      </c>
      <c r="D1544" s="4" t="s">
        <v>29</v>
      </c>
      <c r="E1544" s="4">
        <v>3</v>
      </c>
      <c r="F1544" s="4">
        <v>13120</v>
      </c>
      <c r="G1544" s="4">
        <v>39360</v>
      </c>
      <c r="H1544" s="4">
        <v>87107</v>
      </c>
      <c r="I1544" s="4"/>
      <c r="J1544" s="4"/>
      <c r="K1544" s="4"/>
      <c r="L1544" s="6">
        <f t="shared" si="24"/>
        <v>0.451858059627814</v>
      </c>
      <c r="M1544" s="4"/>
    </row>
    <row r="1545" spans="1:13">
      <c r="A1545" s="3">
        <v>45739</v>
      </c>
      <c r="B1545" s="4" t="s">
        <v>4</v>
      </c>
      <c r="C1545" s="4" t="s">
        <v>28</v>
      </c>
      <c r="D1545" s="4" t="s">
        <v>33</v>
      </c>
      <c r="E1545" s="4">
        <v>4</v>
      </c>
      <c r="F1545" s="4">
        <v>5211</v>
      </c>
      <c r="G1545" s="4">
        <v>20844</v>
      </c>
      <c r="H1545" s="4">
        <v>68578</v>
      </c>
      <c r="I1545" s="4"/>
      <c r="J1545" s="4"/>
      <c r="K1545" s="4"/>
      <c r="L1545" s="6">
        <f t="shared" si="24"/>
        <v>0.303945871853947</v>
      </c>
      <c r="M1545" s="4"/>
    </row>
    <row r="1546" spans="1:13">
      <c r="A1546" s="3">
        <v>45700</v>
      </c>
      <c r="B1546" s="4" t="s">
        <v>4</v>
      </c>
      <c r="C1546" s="4" t="s">
        <v>22</v>
      </c>
      <c r="D1546" s="4" t="s">
        <v>25</v>
      </c>
      <c r="E1546" s="4">
        <v>10</v>
      </c>
      <c r="F1546" s="4">
        <v>19052</v>
      </c>
      <c r="G1546" s="4">
        <v>190520</v>
      </c>
      <c r="H1546" s="4">
        <v>175762</v>
      </c>
      <c r="I1546" s="4"/>
      <c r="J1546" s="4"/>
      <c r="K1546" s="4"/>
      <c r="L1546" s="6">
        <f t="shared" si="24"/>
        <v>1.08396581741218</v>
      </c>
      <c r="M1546" s="4"/>
    </row>
    <row r="1547" spans="1:13">
      <c r="A1547" s="3">
        <v>45762</v>
      </c>
      <c r="B1547" s="4" t="s">
        <v>7</v>
      </c>
      <c r="C1547" s="4" t="s">
        <v>22</v>
      </c>
      <c r="D1547" s="4" t="s">
        <v>32</v>
      </c>
      <c r="E1547" s="4">
        <v>10</v>
      </c>
      <c r="F1547" s="4">
        <v>16679</v>
      </c>
      <c r="G1547" s="4">
        <v>166790</v>
      </c>
      <c r="H1547" s="4">
        <v>64965</v>
      </c>
      <c r="I1547" s="4"/>
      <c r="J1547" s="4"/>
      <c r="K1547" s="4"/>
      <c r="L1547" s="6">
        <f t="shared" si="24"/>
        <v>2.56738243669668</v>
      </c>
      <c r="M1547" s="4"/>
    </row>
    <row r="1548" spans="1:13">
      <c r="A1548" s="3">
        <v>45799</v>
      </c>
      <c r="B1548" s="4" t="s">
        <v>3</v>
      </c>
      <c r="C1548" s="4" t="s">
        <v>26</v>
      </c>
      <c r="D1548" s="4" t="s">
        <v>27</v>
      </c>
      <c r="E1548" s="4">
        <v>5</v>
      </c>
      <c r="F1548" s="4">
        <v>29388</v>
      </c>
      <c r="G1548" s="4">
        <v>146940</v>
      </c>
      <c r="H1548" s="4">
        <v>91919</v>
      </c>
      <c r="I1548" s="4"/>
      <c r="J1548" s="4"/>
      <c r="K1548" s="4"/>
      <c r="L1548" s="6">
        <f t="shared" si="24"/>
        <v>1.59858135967537</v>
      </c>
      <c r="M1548" s="4"/>
    </row>
    <row r="1549" spans="1:13">
      <c r="A1549" s="3">
        <v>45813</v>
      </c>
      <c r="B1549" s="4" t="s">
        <v>6</v>
      </c>
      <c r="C1549" s="4" t="s">
        <v>26</v>
      </c>
      <c r="D1549" s="4" t="s">
        <v>31</v>
      </c>
      <c r="E1549" s="4">
        <v>6</v>
      </c>
      <c r="F1549" s="4">
        <v>33595</v>
      </c>
      <c r="G1549" s="4">
        <v>201570</v>
      </c>
      <c r="H1549" s="4">
        <v>155580</v>
      </c>
      <c r="I1549" s="4"/>
      <c r="J1549" s="4"/>
      <c r="K1549" s="4"/>
      <c r="L1549" s="6">
        <f t="shared" si="24"/>
        <v>1.29560354801388</v>
      </c>
      <c r="M1549" s="4"/>
    </row>
    <row r="1550" spans="1:13">
      <c r="A1550" s="3">
        <v>45819</v>
      </c>
      <c r="B1550" s="4" t="s">
        <v>3</v>
      </c>
      <c r="C1550" s="4" t="s">
        <v>26</v>
      </c>
      <c r="D1550" s="4" t="s">
        <v>29</v>
      </c>
      <c r="E1550" s="4">
        <v>9</v>
      </c>
      <c r="F1550" s="4">
        <v>20473</v>
      </c>
      <c r="G1550" s="4">
        <v>184257</v>
      </c>
      <c r="H1550" s="4">
        <v>67656</v>
      </c>
      <c r="I1550" s="4"/>
      <c r="J1550" s="4"/>
      <c r="K1550" s="4"/>
      <c r="L1550" s="6">
        <f t="shared" si="24"/>
        <v>2.7234391628237</v>
      </c>
      <c r="M1550" s="4"/>
    </row>
    <row r="1551" spans="1:13">
      <c r="A1551" s="3">
        <v>45678</v>
      </c>
      <c r="B1551" s="4" t="s">
        <v>2</v>
      </c>
      <c r="C1551" s="4" t="s">
        <v>22</v>
      </c>
      <c r="D1551" s="4" t="s">
        <v>33</v>
      </c>
      <c r="E1551" s="4">
        <v>10</v>
      </c>
      <c r="F1551" s="4">
        <v>48467</v>
      </c>
      <c r="G1551" s="4">
        <v>484670</v>
      </c>
      <c r="H1551" s="4">
        <v>18945</v>
      </c>
      <c r="I1551" s="4"/>
      <c r="J1551" s="4"/>
      <c r="K1551" s="4"/>
      <c r="L1551" s="6">
        <f t="shared" si="24"/>
        <v>25.5830034309844</v>
      </c>
      <c r="M1551" s="4"/>
    </row>
    <row r="1552" spans="1:13">
      <c r="A1552" s="3">
        <v>45716</v>
      </c>
      <c r="B1552" s="4" t="s">
        <v>7</v>
      </c>
      <c r="C1552" s="4" t="s">
        <v>28</v>
      </c>
      <c r="D1552" s="4" t="s">
        <v>33</v>
      </c>
      <c r="E1552" s="4">
        <v>6</v>
      </c>
      <c r="F1552" s="4">
        <v>1636</v>
      </c>
      <c r="G1552" s="4">
        <v>9816</v>
      </c>
      <c r="H1552" s="4">
        <v>142076</v>
      </c>
      <c r="I1552" s="4"/>
      <c r="J1552" s="4"/>
      <c r="K1552" s="4"/>
      <c r="L1552" s="6">
        <f t="shared" si="24"/>
        <v>0.0690897829330781</v>
      </c>
      <c r="M1552" s="4"/>
    </row>
    <row r="1553" spans="1:13">
      <c r="A1553" s="3">
        <v>45827</v>
      </c>
      <c r="B1553" s="4" t="s">
        <v>3</v>
      </c>
      <c r="C1553" s="4" t="s">
        <v>28</v>
      </c>
      <c r="D1553" s="4" t="s">
        <v>30</v>
      </c>
      <c r="E1553" s="4">
        <v>8</v>
      </c>
      <c r="F1553" s="4">
        <v>12522</v>
      </c>
      <c r="G1553" s="4">
        <v>100176</v>
      </c>
      <c r="H1553" s="4">
        <v>113155</v>
      </c>
      <c r="I1553" s="4"/>
      <c r="J1553" s="4"/>
      <c r="K1553" s="4"/>
      <c r="L1553" s="6">
        <f t="shared" si="24"/>
        <v>0.885298926251602</v>
      </c>
      <c r="M1553" s="4"/>
    </row>
    <row r="1554" spans="1:13">
      <c r="A1554" s="3">
        <v>45826</v>
      </c>
      <c r="B1554" s="4" t="s">
        <v>2</v>
      </c>
      <c r="C1554" s="4" t="s">
        <v>26</v>
      </c>
      <c r="D1554" s="4" t="s">
        <v>31</v>
      </c>
      <c r="E1554" s="4">
        <v>9</v>
      </c>
      <c r="F1554" s="4">
        <v>24044</v>
      </c>
      <c r="G1554" s="4">
        <v>216396</v>
      </c>
      <c r="H1554" s="4">
        <v>118530</v>
      </c>
      <c r="I1554" s="4"/>
      <c r="J1554" s="4"/>
      <c r="K1554" s="4"/>
      <c r="L1554" s="6">
        <f t="shared" si="24"/>
        <v>1.82566438876234</v>
      </c>
      <c r="M1554" s="4"/>
    </row>
    <row r="1555" spans="1:13">
      <c r="A1555" s="3">
        <v>45792</v>
      </c>
      <c r="B1555" s="4" t="s">
        <v>5</v>
      </c>
      <c r="C1555" s="4" t="s">
        <v>28</v>
      </c>
      <c r="D1555" s="4" t="s">
        <v>25</v>
      </c>
      <c r="E1555" s="4">
        <v>10</v>
      </c>
      <c r="F1555" s="4">
        <v>45039</v>
      </c>
      <c r="G1555" s="4">
        <v>450390</v>
      </c>
      <c r="H1555" s="4">
        <v>95175</v>
      </c>
      <c r="I1555" s="4"/>
      <c r="J1555" s="4"/>
      <c r="K1555" s="4"/>
      <c r="L1555" s="6">
        <f t="shared" si="24"/>
        <v>4.73223010244287</v>
      </c>
      <c r="M1555" s="4"/>
    </row>
    <row r="1556" spans="1:13">
      <c r="A1556" s="3">
        <v>45755</v>
      </c>
      <c r="B1556" s="4" t="s">
        <v>7</v>
      </c>
      <c r="C1556" s="4" t="s">
        <v>24</v>
      </c>
      <c r="D1556" s="4" t="s">
        <v>25</v>
      </c>
      <c r="E1556" s="4">
        <v>9</v>
      </c>
      <c r="F1556" s="4">
        <v>40185</v>
      </c>
      <c r="G1556" s="4">
        <v>361665</v>
      </c>
      <c r="H1556" s="4">
        <v>144788</v>
      </c>
      <c r="I1556" s="4"/>
      <c r="J1556" s="4"/>
      <c r="K1556" s="4"/>
      <c r="L1556" s="6">
        <f t="shared" si="24"/>
        <v>2.49789347183468</v>
      </c>
      <c r="M1556" s="4"/>
    </row>
    <row r="1557" spans="1:13">
      <c r="A1557" s="3">
        <v>45754</v>
      </c>
      <c r="B1557" s="4" t="s">
        <v>4</v>
      </c>
      <c r="C1557" s="4" t="s">
        <v>22</v>
      </c>
      <c r="D1557" s="4" t="s">
        <v>32</v>
      </c>
      <c r="E1557" s="4">
        <v>9</v>
      </c>
      <c r="F1557" s="4">
        <v>16709</v>
      </c>
      <c r="G1557" s="4">
        <v>150381</v>
      </c>
      <c r="H1557" s="4">
        <v>131301</v>
      </c>
      <c r="I1557" s="4"/>
      <c r="J1557" s="4"/>
      <c r="K1557" s="4"/>
      <c r="L1557" s="6">
        <f t="shared" si="24"/>
        <v>1.14531496332854</v>
      </c>
      <c r="M1557" s="4"/>
    </row>
    <row r="1558" spans="1:13">
      <c r="A1558" s="3">
        <v>45786</v>
      </c>
      <c r="B1558" s="4" t="s">
        <v>6</v>
      </c>
      <c r="C1558" s="4" t="s">
        <v>22</v>
      </c>
      <c r="D1558" s="4" t="s">
        <v>27</v>
      </c>
      <c r="E1558" s="4">
        <v>8</v>
      </c>
      <c r="F1558" s="4">
        <v>21444</v>
      </c>
      <c r="G1558" s="4">
        <v>171552</v>
      </c>
      <c r="H1558" s="4">
        <v>39351</v>
      </c>
      <c r="I1558" s="4"/>
      <c r="J1558" s="4"/>
      <c r="K1558" s="4"/>
      <c r="L1558" s="6">
        <f t="shared" si="24"/>
        <v>4.35953342990013</v>
      </c>
      <c r="M1558" s="4"/>
    </row>
    <row r="1559" spans="1:13">
      <c r="A1559" s="3">
        <v>45727</v>
      </c>
      <c r="B1559" s="4" t="s">
        <v>4</v>
      </c>
      <c r="C1559" s="4" t="s">
        <v>28</v>
      </c>
      <c r="D1559" s="4" t="s">
        <v>27</v>
      </c>
      <c r="E1559" s="4">
        <v>9</v>
      </c>
      <c r="F1559" s="4">
        <v>18671</v>
      </c>
      <c r="G1559" s="4">
        <v>168039</v>
      </c>
      <c r="H1559" s="4">
        <v>28393</v>
      </c>
      <c r="I1559" s="4"/>
      <c r="J1559" s="4"/>
      <c r="K1559" s="4"/>
      <c r="L1559" s="6">
        <f t="shared" si="24"/>
        <v>5.91832493924559</v>
      </c>
      <c r="M1559" s="4"/>
    </row>
    <row r="1560" spans="1:13">
      <c r="A1560" s="3">
        <v>45799</v>
      </c>
      <c r="B1560" s="4" t="s">
        <v>8</v>
      </c>
      <c r="C1560" s="4" t="s">
        <v>22</v>
      </c>
      <c r="D1560" s="4" t="s">
        <v>31</v>
      </c>
      <c r="E1560" s="4">
        <v>5</v>
      </c>
      <c r="F1560" s="4">
        <v>8730</v>
      </c>
      <c r="G1560" s="4">
        <v>43650</v>
      </c>
      <c r="H1560" s="4">
        <v>144396</v>
      </c>
      <c r="I1560" s="4"/>
      <c r="J1560" s="4"/>
      <c r="K1560" s="4"/>
      <c r="L1560" s="6">
        <f t="shared" si="24"/>
        <v>0.302293692346048</v>
      </c>
      <c r="M1560" s="4"/>
    </row>
    <row r="1561" spans="1:13">
      <c r="A1561" s="3">
        <v>45714</v>
      </c>
      <c r="B1561" s="4" t="s">
        <v>3</v>
      </c>
      <c r="C1561" s="4" t="s">
        <v>28</v>
      </c>
      <c r="D1561" s="4" t="s">
        <v>25</v>
      </c>
      <c r="E1561" s="4">
        <v>6</v>
      </c>
      <c r="F1561" s="4">
        <v>8423</v>
      </c>
      <c r="G1561" s="4">
        <v>50538</v>
      </c>
      <c r="H1561" s="4">
        <v>63445</v>
      </c>
      <c r="I1561" s="4"/>
      <c r="J1561" s="4"/>
      <c r="K1561" s="4"/>
      <c r="L1561" s="6">
        <f t="shared" si="24"/>
        <v>0.796563953030184</v>
      </c>
      <c r="M1561" s="4"/>
    </row>
    <row r="1562" spans="1:13">
      <c r="A1562" s="3">
        <v>45660</v>
      </c>
      <c r="B1562" s="4" t="s">
        <v>7</v>
      </c>
      <c r="C1562" s="4" t="s">
        <v>28</v>
      </c>
      <c r="D1562" s="4" t="s">
        <v>23</v>
      </c>
      <c r="E1562" s="4">
        <v>2</v>
      </c>
      <c r="F1562" s="4">
        <v>19071</v>
      </c>
      <c r="G1562" s="4">
        <v>38142</v>
      </c>
      <c r="H1562" s="4">
        <v>21466</v>
      </c>
      <c r="I1562" s="4"/>
      <c r="J1562" s="4"/>
      <c r="K1562" s="4"/>
      <c r="L1562" s="6">
        <f t="shared" si="24"/>
        <v>1.77685642411255</v>
      </c>
      <c r="M1562" s="4"/>
    </row>
    <row r="1563" spans="1:13">
      <c r="A1563" s="3">
        <v>45774</v>
      </c>
      <c r="B1563" s="4" t="s">
        <v>2</v>
      </c>
      <c r="C1563" s="4" t="s">
        <v>22</v>
      </c>
      <c r="D1563" s="4" t="s">
        <v>27</v>
      </c>
      <c r="E1563" s="4">
        <v>9</v>
      </c>
      <c r="F1563" s="4">
        <v>19308</v>
      </c>
      <c r="G1563" s="4">
        <v>173772</v>
      </c>
      <c r="H1563" s="4">
        <v>30535</v>
      </c>
      <c r="I1563" s="4"/>
      <c r="J1563" s="4"/>
      <c r="K1563" s="4"/>
      <c r="L1563" s="6">
        <f t="shared" si="24"/>
        <v>5.69091206811855</v>
      </c>
      <c r="M1563" s="4"/>
    </row>
    <row r="1564" spans="1:13">
      <c r="A1564" s="3">
        <v>45804</v>
      </c>
      <c r="B1564" s="4" t="s">
        <v>8</v>
      </c>
      <c r="C1564" s="4" t="s">
        <v>24</v>
      </c>
      <c r="D1564" s="4" t="s">
        <v>33</v>
      </c>
      <c r="E1564" s="4">
        <v>7</v>
      </c>
      <c r="F1564" s="4">
        <v>23245</v>
      </c>
      <c r="G1564" s="4">
        <v>162715</v>
      </c>
      <c r="H1564" s="4">
        <v>166871</v>
      </c>
      <c r="I1564" s="4"/>
      <c r="J1564" s="4"/>
      <c r="K1564" s="4"/>
      <c r="L1564" s="6">
        <f t="shared" si="24"/>
        <v>0.975094534101192</v>
      </c>
      <c r="M1564" s="4"/>
    </row>
    <row r="1565" spans="1:13">
      <c r="A1565" s="3">
        <v>45738</v>
      </c>
      <c r="B1565" s="4" t="s">
        <v>5</v>
      </c>
      <c r="C1565" s="4" t="s">
        <v>24</v>
      </c>
      <c r="D1565" s="4" t="s">
        <v>25</v>
      </c>
      <c r="E1565" s="4">
        <v>9</v>
      </c>
      <c r="F1565" s="4">
        <v>10577</v>
      </c>
      <c r="G1565" s="4">
        <v>95193</v>
      </c>
      <c r="H1565" s="4">
        <v>136046</v>
      </c>
      <c r="I1565" s="4"/>
      <c r="J1565" s="4"/>
      <c r="K1565" s="4"/>
      <c r="L1565" s="6">
        <f t="shared" si="24"/>
        <v>0.699711862164268</v>
      </c>
      <c r="M1565" s="4"/>
    </row>
    <row r="1566" spans="1:13">
      <c r="A1566" s="3">
        <v>45817</v>
      </c>
      <c r="B1566" s="4" t="s">
        <v>4</v>
      </c>
      <c r="C1566" s="4" t="s">
        <v>26</v>
      </c>
      <c r="D1566" s="4" t="s">
        <v>27</v>
      </c>
      <c r="E1566" s="4">
        <v>1</v>
      </c>
      <c r="F1566" s="4">
        <v>16816</v>
      </c>
      <c r="G1566" s="4">
        <v>16816</v>
      </c>
      <c r="H1566" s="4">
        <v>77795</v>
      </c>
      <c r="I1566" s="4"/>
      <c r="J1566" s="4"/>
      <c r="K1566" s="4"/>
      <c r="L1566" s="6">
        <f t="shared" si="24"/>
        <v>0.216157850761617</v>
      </c>
      <c r="M1566" s="4"/>
    </row>
    <row r="1567" spans="1:13">
      <c r="A1567" s="3">
        <v>45824</v>
      </c>
      <c r="B1567" s="4" t="s">
        <v>2</v>
      </c>
      <c r="C1567" s="4" t="s">
        <v>24</v>
      </c>
      <c r="D1567" s="4" t="s">
        <v>33</v>
      </c>
      <c r="E1567" s="4">
        <v>3</v>
      </c>
      <c r="F1567" s="4">
        <v>18854</v>
      </c>
      <c r="G1567" s="4">
        <v>56562</v>
      </c>
      <c r="H1567" s="4">
        <v>59471</v>
      </c>
      <c r="I1567" s="4"/>
      <c r="J1567" s="4"/>
      <c r="K1567" s="4"/>
      <c r="L1567" s="6">
        <f t="shared" si="24"/>
        <v>0.951085402969515</v>
      </c>
      <c r="M1567" s="4"/>
    </row>
    <row r="1568" spans="1:13">
      <c r="A1568" s="3">
        <v>45659</v>
      </c>
      <c r="B1568" s="4" t="s">
        <v>5</v>
      </c>
      <c r="C1568" s="4" t="s">
        <v>28</v>
      </c>
      <c r="D1568" s="4" t="s">
        <v>25</v>
      </c>
      <c r="E1568" s="4">
        <v>1</v>
      </c>
      <c r="F1568" s="4">
        <v>3566</v>
      </c>
      <c r="G1568" s="4">
        <v>3566</v>
      </c>
      <c r="H1568" s="4">
        <v>85653</v>
      </c>
      <c r="I1568" s="4"/>
      <c r="J1568" s="4"/>
      <c r="K1568" s="4"/>
      <c r="L1568" s="6">
        <f t="shared" si="24"/>
        <v>0.0416331010005487</v>
      </c>
      <c r="M1568" s="4"/>
    </row>
    <row r="1569" spans="1:13">
      <c r="A1569" s="3">
        <v>45701</v>
      </c>
      <c r="B1569" s="4" t="s">
        <v>7</v>
      </c>
      <c r="C1569" s="4" t="s">
        <v>26</v>
      </c>
      <c r="D1569" s="4" t="s">
        <v>30</v>
      </c>
      <c r="E1569" s="4">
        <v>4</v>
      </c>
      <c r="F1569" s="4">
        <v>42584</v>
      </c>
      <c r="G1569" s="4">
        <v>170336</v>
      </c>
      <c r="H1569" s="4">
        <v>70371</v>
      </c>
      <c r="I1569" s="4"/>
      <c r="J1569" s="4"/>
      <c r="K1569" s="4"/>
      <c r="L1569" s="6">
        <f t="shared" si="24"/>
        <v>2.42054255304031</v>
      </c>
      <c r="M1569" s="4"/>
    </row>
    <row r="1570" spans="1:13">
      <c r="A1570" s="3">
        <v>45806</v>
      </c>
      <c r="B1570" s="4" t="s">
        <v>4</v>
      </c>
      <c r="C1570" s="4" t="s">
        <v>22</v>
      </c>
      <c r="D1570" s="4" t="s">
        <v>25</v>
      </c>
      <c r="E1570" s="4">
        <v>9</v>
      </c>
      <c r="F1570" s="4">
        <v>8824</v>
      </c>
      <c r="G1570" s="4">
        <v>79416</v>
      </c>
      <c r="H1570" s="4">
        <v>49076</v>
      </c>
      <c r="I1570" s="4"/>
      <c r="J1570" s="4"/>
      <c r="K1570" s="4"/>
      <c r="L1570" s="6">
        <f t="shared" si="24"/>
        <v>1.61822479419676</v>
      </c>
      <c r="M1570" s="4"/>
    </row>
    <row r="1571" spans="1:13">
      <c r="A1571" s="3">
        <v>45685</v>
      </c>
      <c r="B1571" s="4" t="s">
        <v>8</v>
      </c>
      <c r="C1571" s="4" t="s">
        <v>22</v>
      </c>
      <c r="D1571" s="4" t="s">
        <v>23</v>
      </c>
      <c r="E1571" s="4">
        <v>3</v>
      </c>
      <c r="F1571" s="4">
        <v>17913</v>
      </c>
      <c r="G1571" s="4">
        <v>53739</v>
      </c>
      <c r="H1571" s="4">
        <v>22220</v>
      </c>
      <c r="I1571" s="4"/>
      <c r="J1571" s="4"/>
      <c r="K1571" s="4"/>
      <c r="L1571" s="6">
        <f t="shared" si="24"/>
        <v>2.41849684968497</v>
      </c>
      <c r="M1571" s="4"/>
    </row>
    <row r="1572" spans="1:13">
      <c r="A1572" s="3">
        <v>45688</v>
      </c>
      <c r="B1572" s="4" t="s">
        <v>5</v>
      </c>
      <c r="C1572" s="4" t="s">
        <v>22</v>
      </c>
      <c r="D1572" s="4" t="s">
        <v>29</v>
      </c>
      <c r="E1572" s="4">
        <v>2</v>
      </c>
      <c r="F1572" s="4">
        <v>27982</v>
      </c>
      <c r="G1572" s="4">
        <v>55964</v>
      </c>
      <c r="H1572" s="4">
        <v>110712</v>
      </c>
      <c r="I1572" s="4"/>
      <c r="J1572" s="4"/>
      <c r="K1572" s="4"/>
      <c r="L1572" s="6">
        <f t="shared" si="24"/>
        <v>0.505491726280801</v>
      </c>
      <c r="M1572" s="4"/>
    </row>
    <row r="1573" spans="1:13">
      <c r="A1573" s="3">
        <v>45683</v>
      </c>
      <c r="B1573" s="4" t="s">
        <v>2</v>
      </c>
      <c r="C1573" s="4" t="s">
        <v>26</v>
      </c>
      <c r="D1573" s="4" t="s">
        <v>25</v>
      </c>
      <c r="E1573" s="4">
        <v>2</v>
      </c>
      <c r="F1573" s="4">
        <v>22444</v>
      </c>
      <c r="G1573" s="4">
        <v>44888</v>
      </c>
      <c r="H1573" s="4">
        <v>108845</v>
      </c>
      <c r="I1573" s="4"/>
      <c r="J1573" s="4"/>
      <c r="K1573" s="4"/>
      <c r="L1573" s="6">
        <f t="shared" si="24"/>
        <v>0.412402958335247</v>
      </c>
      <c r="M1573" s="4"/>
    </row>
    <row r="1574" spans="1:13">
      <c r="A1574" s="3">
        <v>45688</v>
      </c>
      <c r="B1574" s="4" t="s">
        <v>2</v>
      </c>
      <c r="C1574" s="4" t="s">
        <v>26</v>
      </c>
      <c r="D1574" s="4" t="s">
        <v>29</v>
      </c>
      <c r="E1574" s="4">
        <v>10</v>
      </c>
      <c r="F1574" s="4">
        <v>48545</v>
      </c>
      <c r="G1574" s="4">
        <v>485450</v>
      </c>
      <c r="H1574" s="4">
        <v>94299</v>
      </c>
      <c r="I1574" s="4"/>
      <c r="J1574" s="4"/>
      <c r="K1574" s="4"/>
      <c r="L1574" s="6">
        <f t="shared" si="24"/>
        <v>5.14798672308296</v>
      </c>
      <c r="M1574" s="4"/>
    </row>
    <row r="1575" spans="1:13">
      <c r="A1575" s="3">
        <v>45777</v>
      </c>
      <c r="B1575" s="4" t="s">
        <v>7</v>
      </c>
      <c r="C1575" s="4" t="s">
        <v>28</v>
      </c>
      <c r="D1575" s="4" t="s">
        <v>32</v>
      </c>
      <c r="E1575" s="4">
        <v>8</v>
      </c>
      <c r="F1575" s="4">
        <v>33127</v>
      </c>
      <c r="G1575" s="4">
        <v>265016</v>
      </c>
      <c r="H1575" s="4">
        <v>45323</v>
      </c>
      <c r="I1575" s="4"/>
      <c r="J1575" s="4"/>
      <c r="K1575" s="4"/>
      <c r="L1575" s="6">
        <f t="shared" si="24"/>
        <v>5.8472740109878</v>
      </c>
      <c r="M1575" s="4"/>
    </row>
    <row r="1576" spans="1:13">
      <c r="A1576" s="3">
        <v>45726</v>
      </c>
      <c r="B1576" s="4" t="s">
        <v>2</v>
      </c>
      <c r="C1576" s="4" t="s">
        <v>28</v>
      </c>
      <c r="D1576" s="4" t="s">
        <v>32</v>
      </c>
      <c r="E1576" s="4">
        <v>6</v>
      </c>
      <c r="F1576" s="4">
        <v>10445</v>
      </c>
      <c r="G1576" s="4">
        <v>62670</v>
      </c>
      <c r="H1576" s="4">
        <v>117630</v>
      </c>
      <c r="I1576" s="4"/>
      <c r="J1576" s="4"/>
      <c r="K1576" s="4"/>
      <c r="L1576" s="6">
        <f t="shared" si="24"/>
        <v>0.532772251976537</v>
      </c>
      <c r="M1576" s="4"/>
    </row>
    <row r="1577" spans="1:13">
      <c r="A1577" s="3">
        <v>45825</v>
      </c>
      <c r="B1577" s="4" t="s">
        <v>5</v>
      </c>
      <c r="C1577" s="4" t="s">
        <v>22</v>
      </c>
      <c r="D1577" s="4" t="s">
        <v>23</v>
      </c>
      <c r="E1577" s="4">
        <v>4</v>
      </c>
      <c r="F1577" s="4">
        <v>36979</v>
      </c>
      <c r="G1577" s="4">
        <v>147916</v>
      </c>
      <c r="H1577" s="4">
        <v>109317</v>
      </c>
      <c r="I1577" s="4"/>
      <c r="J1577" s="4"/>
      <c r="K1577" s="4"/>
      <c r="L1577" s="6">
        <f t="shared" si="24"/>
        <v>1.35309238270351</v>
      </c>
      <c r="M1577" s="4"/>
    </row>
    <row r="1578" spans="1:13">
      <c r="A1578" s="3">
        <v>45833</v>
      </c>
      <c r="B1578" s="4" t="s">
        <v>5</v>
      </c>
      <c r="C1578" s="4" t="s">
        <v>24</v>
      </c>
      <c r="D1578" s="4" t="s">
        <v>30</v>
      </c>
      <c r="E1578" s="4">
        <v>5</v>
      </c>
      <c r="F1578" s="4">
        <v>27363</v>
      </c>
      <c r="G1578" s="4">
        <v>136815</v>
      </c>
      <c r="H1578" s="4">
        <v>70064</v>
      </c>
      <c r="I1578" s="4"/>
      <c r="J1578" s="4"/>
      <c r="K1578" s="4"/>
      <c r="L1578" s="6">
        <f t="shared" si="24"/>
        <v>1.95271466088148</v>
      </c>
      <c r="M1578" s="4"/>
    </row>
    <row r="1579" spans="1:13">
      <c r="A1579" s="3">
        <v>45671</v>
      </c>
      <c r="B1579" s="4" t="s">
        <v>8</v>
      </c>
      <c r="C1579" s="4" t="s">
        <v>26</v>
      </c>
      <c r="D1579" s="4" t="s">
        <v>23</v>
      </c>
      <c r="E1579" s="4">
        <v>8</v>
      </c>
      <c r="F1579" s="4">
        <v>15969</v>
      </c>
      <c r="G1579" s="4">
        <v>127752</v>
      </c>
      <c r="H1579" s="4">
        <v>22426</v>
      </c>
      <c r="I1579" s="4"/>
      <c r="J1579" s="4"/>
      <c r="K1579" s="4"/>
      <c r="L1579" s="6">
        <f t="shared" si="24"/>
        <v>5.69660215820922</v>
      </c>
      <c r="M1579" s="4"/>
    </row>
    <row r="1580" spans="1:13">
      <c r="A1580" s="3">
        <v>45676</v>
      </c>
      <c r="B1580" s="4" t="s">
        <v>6</v>
      </c>
      <c r="C1580" s="4" t="s">
        <v>24</v>
      </c>
      <c r="D1580" s="4" t="s">
        <v>30</v>
      </c>
      <c r="E1580" s="4">
        <v>10</v>
      </c>
      <c r="F1580" s="4">
        <v>27599</v>
      </c>
      <c r="G1580" s="4">
        <v>275990</v>
      </c>
      <c r="H1580" s="4">
        <v>135626</v>
      </c>
      <c r="I1580" s="4"/>
      <c r="J1580" s="4"/>
      <c r="K1580" s="4"/>
      <c r="L1580" s="6">
        <f t="shared" si="24"/>
        <v>2.03493430463185</v>
      </c>
      <c r="M1580" s="4"/>
    </row>
    <row r="1581" spans="1:13">
      <c r="A1581" s="3">
        <v>45837</v>
      </c>
      <c r="B1581" s="4" t="s">
        <v>4</v>
      </c>
      <c r="C1581" s="4" t="s">
        <v>22</v>
      </c>
      <c r="D1581" s="4" t="s">
        <v>27</v>
      </c>
      <c r="E1581" s="4">
        <v>3</v>
      </c>
      <c r="F1581" s="4">
        <v>14137</v>
      </c>
      <c r="G1581" s="4">
        <v>42411</v>
      </c>
      <c r="H1581" s="4">
        <v>106819</v>
      </c>
      <c r="I1581" s="4"/>
      <c r="J1581" s="4"/>
      <c r="K1581" s="4"/>
      <c r="L1581" s="6">
        <f t="shared" si="24"/>
        <v>0.397036107808536</v>
      </c>
      <c r="M1581" s="4"/>
    </row>
    <row r="1582" spans="1:13">
      <c r="A1582" s="3">
        <v>45820</v>
      </c>
      <c r="B1582" s="4" t="s">
        <v>8</v>
      </c>
      <c r="C1582" s="4" t="s">
        <v>22</v>
      </c>
      <c r="D1582" s="4" t="s">
        <v>27</v>
      </c>
      <c r="E1582" s="4">
        <v>1</v>
      </c>
      <c r="F1582" s="4">
        <v>26969</v>
      </c>
      <c r="G1582" s="4">
        <v>26969</v>
      </c>
      <c r="H1582" s="4">
        <v>55776</v>
      </c>
      <c r="I1582" s="4"/>
      <c r="J1582" s="4"/>
      <c r="K1582" s="4"/>
      <c r="L1582" s="6">
        <f t="shared" si="24"/>
        <v>0.483523379231211</v>
      </c>
      <c r="M1582" s="4"/>
    </row>
    <row r="1583" spans="1:13">
      <c r="A1583" s="3">
        <v>45811</v>
      </c>
      <c r="B1583" s="4" t="s">
        <v>6</v>
      </c>
      <c r="C1583" s="4" t="s">
        <v>24</v>
      </c>
      <c r="D1583" s="4" t="s">
        <v>33</v>
      </c>
      <c r="E1583" s="4">
        <v>4</v>
      </c>
      <c r="F1583" s="4">
        <v>34239</v>
      </c>
      <c r="G1583" s="4">
        <v>136956</v>
      </c>
      <c r="H1583" s="4">
        <v>98343</v>
      </c>
      <c r="I1583" s="4"/>
      <c r="J1583" s="4"/>
      <c r="K1583" s="4"/>
      <c r="L1583" s="6">
        <f t="shared" si="24"/>
        <v>1.39263597815808</v>
      </c>
      <c r="M1583" s="4"/>
    </row>
    <row r="1584" spans="1:13">
      <c r="A1584" s="3">
        <v>45658</v>
      </c>
      <c r="B1584" s="4" t="s">
        <v>5</v>
      </c>
      <c r="C1584" s="4" t="s">
        <v>24</v>
      </c>
      <c r="D1584" s="4" t="s">
        <v>31</v>
      </c>
      <c r="E1584" s="4">
        <v>9</v>
      </c>
      <c r="F1584" s="4">
        <v>28866</v>
      </c>
      <c r="G1584" s="4">
        <v>259794</v>
      </c>
      <c r="H1584" s="4">
        <v>143380</v>
      </c>
      <c r="I1584" s="4"/>
      <c r="J1584" s="4"/>
      <c r="K1584" s="4"/>
      <c r="L1584" s="6">
        <f t="shared" si="24"/>
        <v>1.81192634956061</v>
      </c>
      <c r="M1584" s="4"/>
    </row>
    <row r="1585" spans="1:13">
      <c r="A1585" s="3">
        <v>45761</v>
      </c>
      <c r="B1585" s="4" t="s">
        <v>6</v>
      </c>
      <c r="C1585" s="4" t="s">
        <v>28</v>
      </c>
      <c r="D1585" s="4" t="s">
        <v>30</v>
      </c>
      <c r="E1585" s="4">
        <v>9</v>
      </c>
      <c r="F1585" s="4">
        <v>35697</v>
      </c>
      <c r="G1585" s="4">
        <v>321273</v>
      </c>
      <c r="H1585" s="4">
        <v>107859</v>
      </c>
      <c r="I1585" s="4"/>
      <c r="J1585" s="4"/>
      <c r="K1585" s="4"/>
      <c r="L1585" s="6">
        <f t="shared" si="24"/>
        <v>2.97863877840514</v>
      </c>
      <c r="M1585" s="4"/>
    </row>
    <row r="1586" spans="1:13">
      <c r="A1586" s="3">
        <v>45803</v>
      </c>
      <c r="B1586" s="4" t="s">
        <v>2</v>
      </c>
      <c r="C1586" s="4" t="s">
        <v>26</v>
      </c>
      <c r="D1586" s="4" t="s">
        <v>33</v>
      </c>
      <c r="E1586" s="4">
        <v>4</v>
      </c>
      <c r="F1586" s="4">
        <v>11551</v>
      </c>
      <c r="G1586" s="4">
        <v>46204</v>
      </c>
      <c r="H1586" s="4">
        <v>154462</v>
      </c>
      <c r="I1586" s="4"/>
      <c r="J1586" s="4"/>
      <c r="K1586" s="4"/>
      <c r="L1586" s="6">
        <f t="shared" si="24"/>
        <v>0.29912858826119</v>
      </c>
      <c r="M1586" s="4"/>
    </row>
    <row r="1587" spans="1:13">
      <c r="A1587" s="3">
        <v>45814</v>
      </c>
      <c r="B1587" s="4" t="s">
        <v>4</v>
      </c>
      <c r="C1587" s="4" t="s">
        <v>22</v>
      </c>
      <c r="D1587" s="4" t="s">
        <v>33</v>
      </c>
      <c r="E1587" s="4">
        <v>3</v>
      </c>
      <c r="F1587" s="4">
        <v>18054</v>
      </c>
      <c r="G1587" s="4">
        <v>54162</v>
      </c>
      <c r="H1587" s="4">
        <v>86898</v>
      </c>
      <c r="I1587" s="4"/>
      <c r="J1587" s="4"/>
      <c r="K1587" s="4"/>
      <c r="L1587" s="6">
        <f t="shared" si="24"/>
        <v>0.623282469101705</v>
      </c>
      <c r="M1587" s="4"/>
    </row>
    <row r="1588" spans="1:13">
      <c r="A1588" s="3">
        <v>45763</v>
      </c>
      <c r="B1588" s="4" t="s">
        <v>7</v>
      </c>
      <c r="C1588" s="4" t="s">
        <v>26</v>
      </c>
      <c r="D1588" s="4" t="s">
        <v>29</v>
      </c>
      <c r="E1588" s="4">
        <v>5</v>
      </c>
      <c r="F1588" s="4">
        <v>39375</v>
      </c>
      <c r="G1588" s="4">
        <v>196875</v>
      </c>
      <c r="H1588" s="4">
        <v>132747</v>
      </c>
      <c r="I1588" s="4"/>
      <c r="J1588" s="4"/>
      <c r="K1588" s="4"/>
      <c r="L1588" s="6">
        <f t="shared" si="24"/>
        <v>1.48308436348844</v>
      </c>
      <c r="M1588" s="4"/>
    </row>
    <row r="1589" spans="1:13">
      <c r="A1589" s="3">
        <v>45747</v>
      </c>
      <c r="B1589" s="4" t="s">
        <v>4</v>
      </c>
      <c r="C1589" s="4" t="s">
        <v>24</v>
      </c>
      <c r="D1589" s="4" t="s">
        <v>33</v>
      </c>
      <c r="E1589" s="4">
        <v>9</v>
      </c>
      <c r="F1589" s="4">
        <v>18022</v>
      </c>
      <c r="G1589" s="4">
        <v>162198</v>
      </c>
      <c r="H1589" s="4">
        <v>199671</v>
      </c>
      <c r="I1589" s="4"/>
      <c r="J1589" s="4"/>
      <c r="K1589" s="4"/>
      <c r="L1589" s="6">
        <f t="shared" si="24"/>
        <v>0.812326276725213</v>
      </c>
      <c r="M1589" s="4"/>
    </row>
    <row r="1590" spans="1:13">
      <c r="A1590" s="3">
        <v>45797</v>
      </c>
      <c r="B1590" s="4" t="s">
        <v>7</v>
      </c>
      <c r="C1590" s="4" t="s">
        <v>28</v>
      </c>
      <c r="D1590" s="4" t="s">
        <v>25</v>
      </c>
      <c r="E1590" s="4">
        <v>3</v>
      </c>
      <c r="F1590" s="4">
        <v>22087</v>
      </c>
      <c r="G1590" s="4">
        <v>66261</v>
      </c>
      <c r="H1590" s="4">
        <v>137713</v>
      </c>
      <c r="I1590" s="4"/>
      <c r="J1590" s="4"/>
      <c r="K1590" s="4"/>
      <c r="L1590" s="6">
        <f t="shared" si="24"/>
        <v>0.481152832339721</v>
      </c>
      <c r="M1590" s="4"/>
    </row>
    <row r="1591" spans="1:13">
      <c r="A1591" s="3">
        <v>45806</v>
      </c>
      <c r="B1591" s="4" t="s">
        <v>7</v>
      </c>
      <c r="C1591" s="4" t="s">
        <v>22</v>
      </c>
      <c r="D1591" s="4" t="s">
        <v>23</v>
      </c>
      <c r="E1591" s="4">
        <v>6</v>
      </c>
      <c r="F1591" s="4">
        <v>33882</v>
      </c>
      <c r="G1591" s="4">
        <v>203292</v>
      </c>
      <c r="H1591" s="4">
        <v>183080</v>
      </c>
      <c r="I1591" s="4"/>
      <c r="J1591" s="4"/>
      <c r="K1591" s="4"/>
      <c r="L1591" s="6">
        <f t="shared" si="24"/>
        <v>1.11039982521302</v>
      </c>
      <c r="M1591" s="4"/>
    </row>
    <row r="1592" spans="1:13">
      <c r="A1592" s="3">
        <v>45804</v>
      </c>
      <c r="B1592" s="4" t="s">
        <v>5</v>
      </c>
      <c r="C1592" s="4" t="s">
        <v>26</v>
      </c>
      <c r="D1592" s="4" t="s">
        <v>27</v>
      </c>
      <c r="E1592" s="4">
        <v>4</v>
      </c>
      <c r="F1592" s="4">
        <v>4894</v>
      </c>
      <c r="G1592" s="4">
        <v>19576</v>
      </c>
      <c r="H1592" s="4">
        <v>157577</v>
      </c>
      <c r="I1592" s="4"/>
      <c r="J1592" s="4"/>
      <c r="K1592" s="4"/>
      <c r="L1592" s="6">
        <f t="shared" si="24"/>
        <v>0.124231328176066</v>
      </c>
      <c r="M1592" s="4"/>
    </row>
    <row r="1593" spans="1:13">
      <c r="A1593" s="3">
        <v>45771</v>
      </c>
      <c r="B1593" s="4" t="s">
        <v>2</v>
      </c>
      <c r="C1593" s="4" t="s">
        <v>24</v>
      </c>
      <c r="D1593" s="4" t="s">
        <v>23</v>
      </c>
      <c r="E1593" s="4">
        <v>10</v>
      </c>
      <c r="F1593" s="4">
        <v>8236</v>
      </c>
      <c r="G1593" s="4">
        <v>82360</v>
      </c>
      <c r="H1593" s="4">
        <v>179960</v>
      </c>
      <c r="I1593" s="4"/>
      <c r="J1593" s="4"/>
      <c r="K1593" s="4"/>
      <c r="L1593" s="6">
        <f t="shared" si="24"/>
        <v>0.45765725716826</v>
      </c>
      <c r="M1593" s="4"/>
    </row>
    <row r="1594" spans="1:13">
      <c r="A1594" s="3">
        <v>45737</v>
      </c>
      <c r="B1594" s="4" t="s">
        <v>4</v>
      </c>
      <c r="C1594" s="4" t="s">
        <v>26</v>
      </c>
      <c r="D1594" s="4" t="s">
        <v>27</v>
      </c>
      <c r="E1594" s="4">
        <v>6</v>
      </c>
      <c r="F1594" s="4">
        <v>4008</v>
      </c>
      <c r="G1594" s="4">
        <v>24048</v>
      </c>
      <c r="H1594" s="4">
        <v>83068</v>
      </c>
      <c r="I1594" s="4"/>
      <c r="J1594" s="4"/>
      <c r="K1594" s="4"/>
      <c r="L1594" s="6">
        <f t="shared" si="24"/>
        <v>0.289497760870612</v>
      </c>
      <c r="M1594" s="4"/>
    </row>
    <row r="1595" spans="1:13">
      <c r="A1595" s="3">
        <v>45837</v>
      </c>
      <c r="B1595" s="4" t="s">
        <v>3</v>
      </c>
      <c r="C1595" s="4" t="s">
        <v>26</v>
      </c>
      <c r="D1595" s="4" t="s">
        <v>23</v>
      </c>
      <c r="E1595" s="4">
        <v>8</v>
      </c>
      <c r="F1595" s="4">
        <v>15991</v>
      </c>
      <c r="G1595" s="4">
        <v>127928</v>
      </c>
      <c r="H1595" s="4">
        <v>102228</v>
      </c>
      <c r="I1595" s="4"/>
      <c r="J1595" s="4"/>
      <c r="K1595" s="4"/>
      <c r="L1595" s="6">
        <f t="shared" si="24"/>
        <v>1.25139883397895</v>
      </c>
      <c r="M1595" s="4"/>
    </row>
    <row r="1596" spans="1:13">
      <c r="A1596" s="3">
        <v>45665</v>
      </c>
      <c r="B1596" s="4" t="s">
        <v>3</v>
      </c>
      <c r="C1596" s="4" t="s">
        <v>28</v>
      </c>
      <c r="D1596" s="4" t="s">
        <v>23</v>
      </c>
      <c r="E1596" s="4">
        <v>7</v>
      </c>
      <c r="F1596" s="4">
        <v>36762</v>
      </c>
      <c r="G1596" s="4">
        <v>257334</v>
      </c>
      <c r="H1596" s="4">
        <v>28060</v>
      </c>
      <c r="I1596" s="4"/>
      <c r="J1596" s="4"/>
      <c r="K1596" s="4"/>
      <c r="L1596" s="6">
        <f t="shared" si="24"/>
        <v>9.17084818246614</v>
      </c>
      <c r="M1596" s="4"/>
    </row>
    <row r="1597" spans="1:13">
      <c r="A1597" s="3">
        <v>45725</v>
      </c>
      <c r="B1597" s="4" t="s">
        <v>5</v>
      </c>
      <c r="C1597" s="4" t="s">
        <v>28</v>
      </c>
      <c r="D1597" s="4" t="s">
        <v>30</v>
      </c>
      <c r="E1597" s="4">
        <v>7</v>
      </c>
      <c r="F1597" s="4">
        <v>18547</v>
      </c>
      <c r="G1597" s="4">
        <v>129829</v>
      </c>
      <c r="H1597" s="4">
        <v>181691</v>
      </c>
      <c r="I1597" s="4"/>
      <c r="J1597" s="4"/>
      <c r="K1597" s="4"/>
      <c r="L1597" s="6">
        <f t="shared" si="24"/>
        <v>0.714559334254311</v>
      </c>
      <c r="M1597" s="4"/>
    </row>
    <row r="1598" spans="1:13">
      <c r="A1598" s="3">
        <v>45736</v>
      </c>
      <c r="B1598" s="4" t="s">
        <v>6</v>
      </c>
      <c r="C1598" s="4" t="s">
        <v>22</v>
      </c>
      <c r="D1598" s="4" t="s">
        <v>25</v>
      </c>
      <c r="E1598" s="4">
        <v>4</v>
      </c>
      <c r="F1598" s="4">
        <v>39261</v>
      </c>
      <c r="G1598" s="4">
        <v>157044</v>
      </c>
      <c r="H1598" s="4">
        <v>17640</v>
      </c>
      <c r="I1598" s="4"/>
      <c r="J1598" s="4"/>
      <c r="K1598" s="4"/>
      <c r="L1598" s="6">
        <f t="shared" si="24"/>
        <v>8.90272108843537</v>
      </c>
      <c r="M1598" s="4"/>
    </row>
    <row r="1599" spans="1:13">
      <c r="A1599" s="3">
        <v>45770</v>
      </c>
      <c r="B1599" s="4" t="s">
        <v>3</v>
      </c>
      <c r="C1599" s="4" t="s">
        <v>28</v>
      </c>
      <c r="D1599" s="4" t="s">
        <v>23</v>
      </c>
      <c r="E1599" s="4">
        <v>6</v>
      </c>
      <c r="F1599" s="4">
        <v>8604</v>
      </c>
      <c r="G1599" s="4">
        <v>51624</v>
      </c>
      <c r="H1599" s="4">
        <v>59508</v>
      </c>
      <c r="I1599" s="4"/>
      <c r="J1599" s="4"/>
      <c r="K1599" s="4"/>
      <c r="L1599" s="6">
        <f t="shared" si="24"/>
        <v>0.867513611615245</v>
      </c>
      <c r="M1599" s="4"/>
    </row>
    <row r="1600" spans="1:13">
      <c r="A1600" s="3">
        <v>45801</v>
      </c>
      <c r="B1600" s="4" t="s">
        <v>6</v>
      </c>
      <c r="C1600" s="4" t="s">
        <v>28</v>
      </c>
      <c r="D1600" s="4" t="s">
        <v>31</v>
      </c>
      <c r="E1600" s="4">
        <v>7</v>
      </c>
      <c r="F1600" s="4">
        <v>17398</v>
      </c>
      <c r="G1600" s="4">
        <v>121786</v>
      </c>
      <c r="H1600" s="4">
        <v>146992</v>
      </c>
      <c r="I1600" s="4"/>
      <c r="J1600" s="4"/>
      <c r="K1600" s="4"/>
      <c r="L1600" s="6">
        <f t="shared" si="24"/>
        <v>0.828521280069664</v>
      </c>
      <c r="M1600" s="4"/>
    </row>
    <row r="1601" spans="1:13">
      <c r="A1601" s="3">
        <v>45694</v>
      </c>
      <c r="B1601" s="4" t="s">
        <v>3</v>
      </c>
      <c r="C1601" s="4" t="s">
        <v>26</v>
      </c>
      <c r="D1601" s="4" t="s">
        <v>31</v>
      </c>
      <c r="E1601" s="4">
        <v>1</v>
      </c>
      <c r="F1601" s="4">
        <v>1496</v>
      </c>
      <c r="G1601" s="4">
        <v>1496</v>
      </c>
      <c r="H1601" s="4">
        <v>128162</v>
      </c>
      <c r="I1601" s="4"/>
      <c r="J1601" s="4"/>
      <c r="K1601" s="4"/>
      <c r="L1601" s="6">
        <f t="shared" si="24"/>
        <v>0.0116727267052637</v>
      </c>
      <c r="M1601" s="4"/>
    </row>
    <row r="1602" spans="1:13">
      <c r="A1602" s="3">
        <v>45700</v>
      </c>
      <c r="B1602" s="4" t="s">
        <v>4</v>
      </c>
      <c r="C1602" s="4" t="s">
        <v>28</v>
      </c>
      <c r="D1602" s="4" t="s">
        <v>31</v>
      </c>
      <c r="E1602" s="4">
        <v>6</v>
      </c>
      <c r="F1602" s="4">
        <v>26075</v>
      </c>
      <c r="G1602" s="4">
        <v>156450</v>
      </c>
      <c r="H1602" s="4">
        <v>147877</v>
      </c>
      <c r="I1602" s="4"/>
      <c r="J1602" s="4"/>
      <c r="K1602" s="4"/>
      <c r="L1602" s="6">
        <f t="shared" si="24"/>
        <v>1.05797385665114</v>
      </c>
      <c r="M1602" s="4"/>
    </row>
    <row r="1603" spans="1:13">
      <c r="A1603" s="3">
        <v>45775</v>
      </c>
      <c r="B1603" s="4" t="s">
        <v>8</v>
      </c>
      <c r="C1603" s="4" t="s">
        <v>24</v>
      </c>
      <c r="D1603" s="4" t="s">
        <v>29</v>
      </c>
      <c r="E1603" s="4">
        <v>8</v>
      </c>
      <c r="F1603" s="4">
        <v>34331</v>
      </c>
      <c r="G1603" s="4">
        <v>274648</v>
      </c>
      <c r="H1603" s="4">
        <v>62145</v>
      </c>
      <c r="I1603" s="4"/>
      <c r="J1603" s="4"/>
      <c r="K1603" s="4"/>
      <c r="L1603" s="6">
        <f t="shared" ref="L1603:L1666" si="25">G1603/H1603</f>
        <v>4.41947059296806</v>
      </c>
      <c r="M1603" s="4"/>
    </row>
    <row r="1604" spans="1:13">
      <c r="A1604" s="3">
        <v>45773</v>
      </c>
      <c r="B1604" s="4" t="s">
        <v>4</v>
      </c>
      <c r="C1604" s="4" t="s">
        <v>26</v>
      </c>
      <c r="D1604" s="4" t="s">
        <v>29</v>
      </c>
      <c r="E1604" s="4">
        <v>2</v>
      </c>
      <c r="F1604" s="4">
        <v>49589</v>
      </c>
      <c r="G1604" s="4">
        <v>99178</v>
      </c>
      <c r="H1604" s="4">
        <v>14373</v>
      </c>
      <c r="I1604" s="4"/>
      <c r="J1604" s="4"/>
      <c r="K1604" s="4"/>
      <c r="L1604" s="6">
        <f t="shared" si="25"/>
        <v>6.90029917205872</v>
      </c>
      <c r="M1604" s="4"/>
    </row>
    <row r="1605" spans="1:13">
      <c r="A1605" s="3">
        <v>45686</v>
      </c>
      <c r="B1605" s="4" t="s">
        <v>7</v>
      </c>
      <c r="C1605" s="4" t="s">
        <v>26</v>
      </c>
      <c r="D1605" s="4" t="s">
        <v>33</v>
      </c>
      <c r="E1605" s="4">
        <v>6</v>
      </c>
      <c r="F1605" s="4">
        <v>41193</v>
      </c>
      <c r="G1605" s="4">
        <v>247158</v>
      </c>
      <c r="H1605" s="4">
        <v>132342</v>
      </c>
      <c r="I1605" s="4"/>
      <c r="J1605" s="4"/>
      <c r="K1605" s="4"/>
      <c r="L1605" s="6">
        <f t="shared" si="25"/>
        <v>1.86757038581856</v>
      </c>
      <c r="M1605" s="4"/>
    </row>
    <row r="1606" spans="1:13">
      <c r="A1606" s="3">
        <v>45754</v>
      </c>
      <c r="B1606" s="4" t="s">
        <v>2</v>
      </c>
      <c r="C1606" s="4" t="s">
        <v>22</v>
      </c>
      <c r="D1606" s="4" t="s">
        <v>25</v>
      </c>
      <c r="E1606" s="4">
        <v>10</v>
      </c>
      <c r="F1606" s="4">
        <v>41227</v>
      </c>
      <c r="G1606" s="4">
        <v>412270</v>
      </c>
      <c r="H1606" s="4">
        <v>12434</v>
      </c>
      <c r="I1606" s="4"/>
      <c r="J1606" s="4"/>
      <c r="K1606" s="4"/>
      <c r="L1606" s="6">
        <f t="shared" si="25"/>
        <v>33.1566672028309</v>
      </c>
      <c r="M1606" s="4"/>
    </row>
    <row r="1607" spans="1:13">
      <c r="A1607" s="3">
        <v>45721</v>
      </c>
      <c r="B1607" s="4" t="s">
        <v>5</v>
      </c>
      <c r="C1607" s="4" t="s">
        <v>26</v>
      </c>
      <c r="D1607" s="4" t="s">
        <v>25</v>
      </c>
      <c r="E1607" s="4">
        <v>3</v>
      </c>
      <c r="F1607" s="4">
        <v>45895</v>
      </c>
      <c r="G1607" s="4">
        <v>137685</v>
      </c>
      <c r="H1607" s="4">
        <v>39804</v>
      </c>
      <c r="I1607" s="4"/>
      <c r="J1607" s="4"/>
      <c r="K1607" s="4"/>
      <c r="L1607" s="6">
        <f t="shared" si="25"/>
        <v>3.4590744648779</v>
      </c>
      <c r="M1607" s="4"/>
    </row>
    <row r="1608" spans="1:13">
      <c r="A1608" s="3">
        <v>45745</v>
      </c>
      <c r="B1608" s="4" t="s">
        <v>3</v>
      </c>
      <c r="C1608" s="4" t="s">
        <v>26</v>
      </c>
      <c r="D1608" s="4" t="s">
        <v>27</v>
      </c>
      <c r="E1608" s="4">
        <v>10</v>
      </c>
      <c r="F1608" s="4">
        <v>29766</v>
      </c>
      <c r="G1608" s="4">
        <v>297660</v>
      </c>
      <c r="H1608" s="4">
        <v>80847</v>
      </c>
      <c r="I1608" s="4"/>
      <c r="J1608" s="4"/>
      <c r="K1608" s="4"/>
      <c r="L1608" s="6">
        <f t="shared" si="25"/>
        <v>3.68176926787636</v>
      </c>
      <c r="M1608" s="4"/>
    </row>
    <row r="1609" spans="1:13">
      <c r="A1609" s="3">
        <v>45662</v>
      </c>
      <c r="B1609" s="4" t="s">
        <v>8</v>
      </c>
      <c r="C1609" s="4" t="s">
        <v>28</v>
      </c>
      <c r="D1609" s="4" t="s">
        <v>23</v>
      </c>
      <c r="E1609" s="4">
        <v>4</v>
      </c>
      <c r="F1609" s="4">
        <v>30196</v>
      </c>
      <c r="G1609" s="4">
        <v>120784</v>
      </c>
      <c r="H1609" s="4">
        <v>154712</v>
      </c>
      <c r="I1609" s="4"/>
      <c r="J1609" s="4"/>
      <c r="K1609" s="4"/>
      <c r="L1609" s="6">
        <f t="shared" si="25"/>
        <v>0.780702207973525</v>
      </c>
      <c r="M1609" s="4"/>
    </row>
    <row r="1610" spans="1:13">
      <c r="A1610" s="3">
        <v>45789</v>
      </c>
      <c r="B1610" s="4" t="s">
        <v>7</v>
      </c>
      <c r="C1610" s="4" t="s">
        <v>28</v>
      </c>
      <c r="D1610" s="4" t="s">
        <v>33</v>
      </c>
      <c r="E1610" s="4">
        <v>8</v>
      </c>
      <c r="F1610" s="4">
        <v>23823</v>
      </c>
      <c r="G1610" s="4">
        <v>190584</v>
      </c>
      <c r="H1610" s="4">
        <v>191141</v>
      </c>
      <c r="I1610" s="4"/>
      <c r="J1610" s="4"/>
      <c r="K1610" s="4"/>
      <c r="L1610" s="6">
        <f t="shared" si="25"/>
        <v>0.997085920864702</v>
      </c>
      <c r="M1610" s="4"/>
    </row>
    <row r="1611" spans="1:13">
      <c r="A1611" s="3">
        <v>45834</v>
      </c>
      <c r="B1611" s="4" t="s">
        <v>6</v>
      </c>
      <c r="C1611" s="4" t="s">
        <v>22</v>
      </c>
      <c r="D1611" s="4" t="s">
        <v>31</v>
      </c>
      <c r="E1611" s="4">
        <v>3</v>
      </c>
      <c r="F1611" s="4">
        <v>44923</v>
      </c>
      <c r="G1611" s="4">
        <v>134769</v>
      </c>
      <c r="H1611" s="4">
        <v>120874</v>
      </c>
      <c r="I1611" s="4"/>
      <c r="J1611" s="4"/>
      <c r="K1611" s="4"/>
      <c r="L1611" s="6">
        <f t="shared" si="25"/>
        <v>1.1149544153416</v>
      </c>
      <c r="M1611" s="4"/>
    </row>
    <row r="1612" spans="1:13">
      <c r="A1612" s="3">
        <v>45668</v>
      </c>
      <c r="B1612" s="4" t="s">
        <v>2</v>
      </c>
      <c r="C1612" s="4" t="s">
        <v>22</v>
      </c>
      <c r="D1612" s="4" t="s">
        <v>30</v>
      </c>
      <c r="E1612" s="4">
        <v>3</v>
      </c>
      <c r="F1612" s="4">
        <v>39888</v>
      </c>
      <c r="G1612" s="4">
        <v>119664</v>
      </c>
      <c r="H1612" s="4">
        <v>159034</v>
      </c>
      <c r="I1612" s="4"/>
      <c r="J1612" s="4"/>
      <c r="K1612" s="4"/>
      <c r="L1612" s="6">
        <f t="shared" si="25"/>
        <v>0.752442873850875</v>
      </c>
      <c r="M1612" s="4"/>
    </row>
    <row r="1613" spans="1:13">
      <c r="A1613" s="3">
        <v>45686</v>
      </c>
      <c r="B1613" s="4" t="s">
        <v>3</v>
      </c>
      <c r="C1613" s="4" t="s">
        <v>22</v>
      </c>
      <c r="D1613" s="4" t="s">
        <v>29</v>
      </c>
      <c r="E1613" s="4">
        <v>7</v>
      </c>
      <c r="F1613" s="4">
        <v>39354</v>
      </c>
      <c r="G1613" s="4">
        <v>275478</v>
      </c>
      <c r="H1613" s="4">
        <v>184336</v>
      </c>
      <c r="I1613" s="4"/>
      <c r="J1613" s="4"/>
      <c r="K1613" s="4"/>
      <c r="L1613" s="6">
        <f t="shared" si="25"/>
        <v>1.49443407690305</v>
      </c>
      <c r="M1613" s="4"/>
    </row>
    <row r="1614" spans="1:13">
      <c r="A1614" s="3">
        <v>45809</v>
      </c>
      <c r="B1614" s="4" t="s">
        <v>5</v>
      </c>
      <c r="C1614" s="4" t="s">
        <v>28</v>
      </c>
      <c r="D1614" s="4" t="s">
        <v>32</v>
      </c>
      <c r="E1614" s="4">
        <v>8</v>
      </c>
      <c r="F1614" s="4">
        <v>47536</v>
      </c>
      <c r="G1614" s="4">
        <v>380288</v>
      </c>
      <c r="H1614" s="4">
        <v>61342</v>
      </c>
      <c r="I1614" s="4"/>
      <c r="J1614" s="4"/>
      <c r="K1614" s="4"/>
      <c r="L1614" s="6">
        <f t="shared" si="25"/>
        <v>6.19947181376545</v>
      </c>
      <c r="M1614" s="4"/>
    </row>
    <row r="1615" spans="1:13">
      <c r="A1615" s="3">
        <v>45689</v>
      </c>
      <c r="B1615" s="4" t="s">
        <v>6</v>
      </c>
      <c r="C1615" s="4" t="s">
        <v>24</v>
      </c>
      <c r="D1615" s="4" t="s">
        <v>25</v>
      </c>
      <c r="E1615" s="4">
        <v>6</v>
      </c>
      <c r="F1615" s="4">
        <v>48077</v>
      </c>
      <c r="G1615" s="4">
        <v>288462</v>
      </c>
      <c r="H1615" s="4">
        <v>82618</v>
      </c>
      <c r="I1615" s="4"/>
      <c r="J1615" s="4"/>
      <c r="K1615" s="4"/>
      <c r="L1615" s="6">
        <f t="shared" si="25"/>
        <v>3.49151516618654</v>
      </c>
      <c r="M1615" s="4"/>
    </row>
    <row r="1616" spans="1:13">
      <c r="A1616" s="3">
        <v>45668</v>
      </c>
      <c r="B1616" s="4" t="s">
        <v>3</v>
      </c>
      <c r="C1616" s="4" t="s">
        <v>26</v>
      </c>
      <c r="D1616" s="4" t="s">
        <v>29</v>
      </c>
      <c r="E1616" s="4">
        <v>5</v>
      </c>
      <c r="F1616" s="4">
        <v>31785</v>
      </c>
      <c r="G1616" s="4">
        <v>158925</v>
      </c>
      <c r="H1616" s="4">
        <v>116703</v>
      </c>
      <c r="I1616" s="4"/>
      <c r="J1616" s="4"/>
      <c r="K1616" s="4"/>
      <c r="L1616" s="6">
        <f t="shared" si="25"/>
        <v>1.36179018534228</v>
      </c>
      <c r="M1616" s="4"/>
    </row>
    <row r="1617" spans="1:13">
      <c r="A1617" s="3">
        <v>45721</v>
      </c>
      <c r="B1617" s="4" t="s">
        <v>7</v>
      </c>
      <c r="C1617" s="4" t="s">
        <v>22</v>
      </c>
      <c r="D1617" s="4" t="s">
        <v>29</v>
      </c>
      <c r="E1617" s="4">
        <v>9</v>
      </c>
      <c r="F1617" s="4">
        <v>29805</v>
      </c>
      <c r="G1617" s="4">
        <v>268245</v>
      </c>
      <c r="H1617" s="4">
        <v>90882</v>
      </c>
      <c r="I1617" s="4"/>
      <c r="J1617" s="4"/>
      <c r="K1617" s="4"/>
      <c r="L1617" s="6">
        <f t="shared" si="25"/>
        <v>2.95157456922163</v>
      </c>
      <c r="M1617" s="4"/>
    </row>
    <row r="1618" spans="1:13">
      <c r="A1618" s="3">
        <v>45686</v>
      </c>
      <c r="B1618" s="4" t="s">
        <v>2</v>
      </c>
      <c r="C1618" s="4" t="s">
        <v>22</v>
      </c>
      <c r="D1618" s="4" t="s">
        <v>29</v>
      </c>
      <c r="E1618" s="4">
        <v>6</v>
      </c>
      <c r="F1618" s="4">
        <v>19835</v>
      </c>
      <c r="G1618" s="4">
        <v>119010</v>
      </c>
      <c r="H1618" s="4">
        <v>89529</v>
      </c>
      <c r="I1618" s="4"/>
      <c r="J1618" s="4"/>
      <c r="K1618" s="4"/>
      <c r="L1618" s="6">
        <f t="shared" si="25"/>
        <v>1.32928995074222</v>
      </c>
      <c r="M1618" s="4"/>
    </row>
    <row r="1619" spans="1:13">
      <c r="A1619" s="3">
        <v>45725</v>
      </c>
      <c r="B1619" s="4" t="s">
        <v>2</v>
      </c>
      <c r="C1619" s="4" t="s">
        <v>28</v>
      </c>
      <c r="D1619" s="4" t="s">
        <v>23</v>
      </c>
      <c r="E1619" s="4">
        <v>4</v>
      </c>
      <c r="F1619" s="4">
        <v>40844</v>
      </c>
      <c r="G1619" s="4">
        <v>163376</v>
      </c>
      <c r="H1619" s="4">
        <v>85013</v>
      </c>
      <c r="I1619" s="4"/>
      <c r="J1619" s="4"/>
      <c r="K1619" s="4"/>
      <c r="L1619" s="6">
        <f t="shared" si="25"/>
        <v>1.92177666945055</v>
      </c>
      <c r="M1619" s="4"/>
    </row>
    <row r="1620" spans="1:13">
      <c r="A1620" s="3">
        <v>45799</v>
      </c>
      <c r="B1620" s="4" t="s">
        <v>4</v>
      </c>
      <c r="C1620" s="4" t="s">
        <v>28</v>
      </c>
      <c r="D1620" s="4" t="s">
        <v>27</v>
      </c>
      <c r="E1620" s="4">
        <v>8</v>
      </c>
      <c r="F1620" s="4">
        <v>42641</v>
      </c>
      <c r="G1620" s="4">
        <v>341128</v>
      </c>
      <c r="H1620" s="4">
        <v>163862</v>
      </c>
      <c r="I1620" s="4"/>
      <c r="J1620" s="4"/>
      <c r="K1620" s="4"/>
      <c r="L1620" s="6">
        <f t="shared" si="25"/>
        <v>2.08180053947834</v>
      </c>
      <c r="M1620" s="4"/>
    </row>
    <row r="1621" spans="1:13">
      <c r="A1621" s="3">
        <v>45676</v>
      </c>
      <c r="B1621" s="4" t="s">
        <v>5</v>
      </c>
      <c r="C1621" s="4" t="s">
        <v>28</v>
      </c>
      <c r="D1621" s="4" t="s">
        <v>27</v>
      </c>
      <c r="E1621" s="4">
        <v>4</v>
      </c>
      <c r="F1621" s="4">
        <v>21106</v>
      </c>
      <c r="G1621" s="4">
        <v>84424</v>
      </c>
      <c r="H1621" s="4">
        <v>101901</v>
      </c>
      <c r="I1621" s="4"/>
      <c r="J1621" s="4"/>
      <c r="K1621" s="4"/>
      <c r="L1621" s="6">
        <f t="shared" si="25"/>
        <v>0.828490397542713</v>
      </c>
      <c r="M1621" s="4"/>
    </row>
    <row r="1622" spans="1:13">
      <c r="A1622" s="3">
        <v>45728</v>
      </c>
      <c r="B1622" s="4" t="s">
        <v>6</v>
      </c>
      <c r="C1622" s="4" t="s">
        <v>26</v>
      </c>
      <c r="D1622" s="4" t="s">
        <v>31</v>
      </c>
      <c r="E1622" s="4">
        <v>2</v>
      </c>
      <c r="F1622" s="4">
        <v>19913</v>
      </c>
      <c r="G1622" s="4">
        <v>39826</v>
      </c>
      <c r="H1622" s="4">
        <v>112437</v>
      </c>
      <c r="I1622" s="4"/>
      <c r="J1622" s="4"/>
      <c r="K1622" s="4"/>
      <c r="L1622" s="6">
        <f t="shared" si="25"/>
        <v>0.354207244946059</v>
      </c>
      <c r="M1622" s="4"/>
    </row>
    <row r="1623" spans="1:13">
      <c r="A1623" s="3">
        <v>45799</v>
      </c>
      <c r="B1623" s="4" t="s">
        <v>5</v>
      </c>
      <c r="C1623" s="4" t="s">
        <v>26</v>
      </c>
      <c r="D1623" s="4" t="s">
        <v>27</v>
      </c>
      <c r="E1623" s="4">
        <v>10</v>
      </c>
      <c r="F1623" s="4">
        <v>26274</v>
      </c>
      <c r="G1623" s="4">
        <v>262740</v>
      </c>
      <c r="H1623" s="4">
        <v>135905</v>
      </c>
      <c r="I1623" s="4"/>
      <c r="J1623" s="4"/>
      <c r="K1623" s="4"/>
      <c r="L1623" s="6">
        <f t="shared" si="25"/>
        <v>1.93326220521688</v>
      </c>
      <c r="M1623" s="4"/>
    </row>
    <row r="1624" spans="1:13">
      <c r="A1624" s="3">
        <v>45779</v>
      </c>
      <c r="B1624" s="4" t="s">
        <v>3</v>
      </c>
      <c r="C1624" s="4" t="s">
        <v>28</v>
      </c>
      <c r="D1624" s="4" t="s">
        <v>32</v>
      </c>
      <c r="E1624" s="4">
        <v>7</v>
      </c>
      <c r="F1624" s="4">
        <v>43164</v>
      </c>
      <c r="G1624" s="4">
        <v>302148</v>
      </c>
      <c r="H1624" s="4">
        <v>142429</v>
      </c>
      <c r="I1624" s="4"/>
      <c r="J1624" s="4"/>
      <c r="K1624" s="4"/>
      <c r="L1624" s="6">
        <f t="shared" si="25"/>
        <v>2.12139381727036</v>
      </c>
      <c r="M1624" s="4"/>
    </row>
    <row r="1625" spans="1:13">
      <c r="A1625" s="3">
        <v>45677</v>
      </c>
      <c r="B1625" s="4" t="s">
        <v>5</v>
      </c>
      <c r="C1625" s="4" t="s">
        <v>26</v>
      </c>
      <c r="D1625" s="4" t="s">
        <v>30</v>
      </c>
      <c r="E1625" s="4">
        <v>8</v>
      </c>
      <c r="F1625" s="4">
        <v>11165</v>
      </c>
      <c r="G1625" s="4">
        <v>89320</v>
      </c>
      <c r="H1625" s="4">
        <v>36063</v>
      </c>
      <c r="I1625" s="4"/>
      <c r="J1625" s="4"/>
      <c r="K1625" s="4"/>
      <c r="L1625" s="6">
        <f t="shared" si="25"/>
        <v>2.47677675179547</v>
      </c>
      <c r="M1625" s="4"/>
    </row>
    <row r="1626" spans="1:13">
      <c r="A1626" s="3">
        <v>45695</v>
      </c>
      <c r="B1626" s="4" t="s">
        <v>3</v>
      </c>
      <c r="C1626" s="4" t="s">
        <v>24</v>
      </c>
      <c r="D1626" s="4" t="s">
        <v>29</v>
      </c>
      <c r="E1626" s="4">
        <v>9</v>
      </c>
      <c r="F1626" s="4">
        <v>35560</v>
      </c>
      <c r="G1626" s="4">
        <v>320040</v>
      </c>
      <c r="H1626" s="4">
        <v>66223</v>
      </c>
      <c r="I1626" s="4"/>
      <c r="J1626" s="4"/>
      <c r="K1626" s="4"/>
      <c r="L1626" s="6">
        <f t="shared" si="25"/>
        <v>4.83276203131842</v>
      </c>
      <c r="M1626" s="4"/>
    </row>
    <row r="1627" spans="1:13">
      <c r="A1627" s="3">
        <v>45718</v>
      </c>
      <c r="B1627" s="4" t="s">
        <v>4</v>
      </c>
      <c r="C1627" s="4" t="s">
        <v>28</v>
      </c>
      <c r="D1627" s="4" t="s">
        <v>27</v>
      </c>
      <c r="E1627" s="4">
        <v>7</v>
      </c>
      <c r="F1627" s="4">
        <v>1993</v>
      </c>
      <c r="G1627" s="4">
        <v>13951</v>
      </c>
      <c r="H1627" s="4">
        <v>123694</v>
      </c>
      <c r="I1627" s="4"/>
      <c r="J1627" s="4"/>
      <c r="K1627" s="4"/>
      <c r="L1627" s="6">
        <f t="shared" si="25"/>
        <v>0.112786392225977</v>
      </c>
      <c r="M1627" s="4"/>
    </row>
    <row r="1628" spans="1:13">
      <c r="A1628" s="3">
        <v>45822</v>
      </c>
      <c r="B1628" s="4" t="s">
        <v>6</v>
      </c>
      <c r="C1628" s="4" t="s">
        <v>26</v>
      </c>
      <c r="D1628" s="4" t="s">
        <v>33</v>
      </c>
      <c r="E1628" s="4">
        <v>2</v>
      </c>
      <c r="F1628" s="4">
        <v>26489</v>
      </c>
      <c r="G1628" s="4">
        <v>52978</v>
      </c>
      <c r="H1628" s="4">
        <v>85520</v>
      </c>
      <c r="I1628" s="4"/>
      <c r="J1628" s="4"/>
      <c r="K1628" s="4"/>
      <c r="L1628" s="6">
        <f t="shared" si="25"/>
        <v>0.619480823199252</v>
      </c>
      <c r="M1628" s="4"/>
    </row>
    <row r="1629" spans="1:13">
      <c r="A1629" s="3">
        <v>45696</v>
      </c>
      <c r="B1629" s="4" t="s">
        <v>3</v>
      </c>
      <c r="C1629" s="4" t="s">
        <v>28</v>
      </c>
      <c r="D1629" s="4" t="s">
        <v>23</v>
      </c>
      <c r="E1629" s="4">
        <v>8</v>
      </c>
      <c r="F1629" s="4">
        <v>14491</v>
      </c>
      <c r="G1629" s="4">
        <v>115928</v>
      </c>
      <c r="H1629" s="4">
        <v>127414</v>
      </c>
      <c r="I1629" s="4"/>
      <c r="J1629" s="4"/>
      <c r="K1629" s="4"/>
      <c r="L1629" s="6">
        <f t="shared" si="25"/>
        <v>0.909852920401212</v>
      </c>
      <c r="M1629" s="4"/>
    </row>
    <row r="1630" spans="1:13">
      <c r="A1630" s="3">
        <v>45813</v>
      </c>
      <c r="B1630" s="4" t="s">
        <v>6</v>
      </c>
      <c r="C1630" s="4" t="s">
        <v>22</v>
      </c>
      <c r="D1630" s="4" t="s">
        <v>27</v>
      </c>
      <c r="E1630" s="4">
        <v>5</v>
      </c>
      <c r="F1630" s="4">
        <v>6042</v>
      </c>
      <c r="G1630" s="4">
        <v>30210</v>
      </c>
      <c r="H1630" s="4">
        <v>110696</v>
      </c>
      <c r="I1630" s="4"/>
      <c r="J1630" s="4"/>
      <c r="K1630" s="4"/>
      <c r="L1630" s="6">
        <f t="shared" si="25"/>
        <v>0.272909590229096</v>
      </c>
      <c r="M1630" s="4"/>
    </row>
    <row r="1631" spans="1:13">
      <c r="A1631" s="3">
        <v>45773</v>
      </c>
      <c r="B1631" s="4" t="s">
        <v>7</v>
      </c>
      <c r="C1631" s="4" t="s">
        <v>24</v>
      </c>
      <c r="D1631" s="4" t="s">
        <v>23</v>
      </c>
      <c r="E1631" s="4">
        <v>2</v>
      </c>
      <c r="F1631" s="4">
        <v>12086</v>
      </c>
      <c r="G1631" s="4">
        <v>24172</v>
      </c>
      <c r="H1631" s="4">
        <v>40649</v>
      </c>
      <c r="I1631" s="4"/>
      <c r="J1631" s="4"/>
      <c r="K1631" s="4"/>
      <c r="L1631" s="6">
        <f t="shared" si="25"/>
        <v>0.594651774951413</v>
      </c>
      <c r="M1631" s="4"/>
    </row>
    <row r="1632" spans="1:13">
      <c r="A1632" s="3">
        <v>45838</v>
      </c>
      <c r="B1632" s="4" t="s">
        <v>7</v>
      </c>
      <c r="C1632" s="4" t="s">
        <v>24</v>
      </c>
      <c r="D1632" s="4" t="s">
        <v>29</v>
      </c>
      <c r="E1632" s="4">
        <v>4</v>
      </c>
      <c r="F1632" s="4">
        <v>17451</v>
      </c>
      <c r="G1632" s="4">
        <v>69804</v>
      </c>
      <c r="H1632" s="4">
        <v>59599</v>
      </c>
      <c r="I1632" s="4"/>
      <c r="J1632" s="4"/>
      <c r="K1632" s="4"/>
      <c r="L1632" s="6">
        <f t="shared" si="25"/>
        <v>1.17122770516284</v>
      </c>
      <c r="M1632" s="4"/>
    </row>
    <row r="1633" spans="1:13">
      <c r="A1633" s="3">
        <v>45720</v>
      </c>
      <c r="B1633" s="4" t="s">
        <v>7</v>
      </c>
      <c r="C1633" s="4" t="s">
        <v>28</v>
      </c>
      <c r="D1633" s="4" t="s">
        <v>33</v>
      </c>
      <c r="E1633" s="4">
        <v>7</v>
      </c>
      <c r="F1633" s="4">
        <v>27771</v>
      </c>
      <c r="G1633" s="4">
        <v>194397</v>
      </c>
      <c r="H1633" s="4">
        <v>170756</v>
      </c>
      <c r="I1633" s="4"/>
      <c r="J1633" s="4"/>
      <c r="K1633" s="4"/>
      <c r="L1633" s="6">
        <f t="shared" si="25"/>
        <v>1.13844901496873</v>
      </c>
      <c r="M1633" s="4"/>
    </row>
    <row r="1634" spans="1:13">
      <c r="A1634" s="3">
        <v>45708</v>
      </c>
      <c r="B1634" s="4" t="s">
        <v>8</v>
      </c>
      <c r="C1634" s="4" t="s">
        <v>28</v>
      </c>
      <c r="D1634" s="4" t="s">
        <v>29</v>
      </c>
      <c r="E1634" s="4">
        <v>6</v>
      </c>
      <c r="F1634" s="4">
        <v>43519</v>
      </c>
      <c r="G1634" s="4">
        <v>261114</v>
      </c>
      <c r="H1634" s="4">
        <v>22851</v>
      </c>
      <c r="I1634" s="4"/>
      <c r="J1634" s="4"/>
      <c r="K1634" s="4"/>
      <c r="L1634" s="6">
        <f t="shared" si="25"/>
        <v>11.4268084547722</v>
      </c>
      <c r="M1634" s="4"/>
    </row>
    <row r="1635" spans="1:13">
      <c r="A1635" s="3">
        <v>45670</v>
      </c>
      <c r="B1635" s="4" t="s">
        <v>8</v>
      </c>
      <c r="C1635" s="4" t="s">
        <v>28</v>
      </c>
      <c r="D1635" s="4" t="s">
        <v>32</v>
      </c>
      <c r="E1635" s="4">
        <v>10</v>
      </c>
      <c r="F1635" s="4">
        <v>1294</v>
      </c>
      <c r="G1635" s="4">
        <v>12940</v>
      </c>
      <c r="H1635" s="4">
        <v>71275</v>
      </c>
      <c r="I1635" s="4"/>
      <c r="J1635" s="4"/>
      <c r="K1635" s="4"/>
      <c r="L1635" s="6">
        <f t="shared" si="25"/>
        <v>0.181550333216415</v>
      </c>
      <c r="M1635" s="4"/>
    </row>
    <row r="1636" spans="1:13">
      <c r="A1636" s="3">
        <v>45723</v>
      </c>
      <c r="B1636" s="4" t="s">
        <v>4</v>
      </c>
      <c r="C1636" s="4" t="s">
        <v>28</v>
      </c>
      <c r="D1636" s="4" t="s">
        <v>25</v>
      </c>
      <c r="E1636" s="4">
        <v>2</v>
      </c>
      <c r="F1636" s="4">
        <v>41941</v>
      </c>
      <c r="G1636" s="4">
        <v>83882</v>
      </c>
      <c r="H1636" s="4">
        <v>110412</v>
      </c>
      <c r="I1636" s="4"/>
      <c r="J1636" s="4"/>
      <c r="K1636" s="4"/>
      <c r="L1636" s="6">
        <f t="shared" si="25"/>
        <v>0.759718146578271</v>
      </c>
      <c r="M1636" s="4"/>
    </row>
    <row r="1637" spans="1:13">
      <c r="A1637" s="3">
        <v>45746</v>
      </c>
      <c r="B1637" s="4" t="s">
        <v>4</v>
      </c>
      <c r="C1637" s="4" t="s">
        <v>26</v>
      </c>
      <c r="D1637" s="4" t="s">
        <v>23</v>
      </c>
      <c r="E1637" s="4">
        <v>1</v>
      </c>
      <c r="F1637" s="4">
        <v>2364</v>
      </c>
      <c r="G1637" s="4">
        <v>2364</v>
      </c>
      <c r="H1637" s="4">
        <v>104661</v>
      </c>
      <c r="I1637" s="4"/>
      <c r="J1637" s="4"/>
      <c r="K1637" s="4"/>
      <c r="L1637" s="6">
        <f t="shared" si="25"/>
        <v>0.0225872101355806</v>
      </c>
      <c r="M1637" s="4"/>
    </row>
    <row r="1638" spans="1:13">
      <c r="A1638" s="3">
        <v>45831</v>
      </c>
      <c r="B1638" s="4" t="s">
        <v>4</v>
      </c>
      <c r="C1638" s="4" t="s">
        <v>28</v>
      </c>
      <c r="D1638" s="4" t="s">
        <v>23</v>
      </c>
      <c r="E1638" s="4">
        <v>5</v>
      </c>
      <c r="F1638" s="4">
        <v>28397</v>
      </c>
      <c r="G1638" s="4">
        <v>141985</v>
      </c>
      <c r="H1638" s="4">
        <v>131509</v>
      </c>
      <c r="I1638" s="4"/>
      <c r="J1638" s="4"/>
      <c r="K1638" s="4"/>
      <c r="L1638" s="6">
        <f t="shared" si="25"/>
        <v>1.07965994722795</v>
      </c>
      <c r="M1638" s="4"/>
    </row>
    <row r="1639" spans="1:13">
      <c r="A1639" s="3">
        <v>45675</v>
      </c>
      <c r="B1639" s="4" t="s">
        <v>7</v>
      </c>
      <c r="C1639" s="4" t="s">
        <v>28</v>
      </c>
      <c r="D1639" s="4" t="s">
        <v>25</v>
      </c>
      <c r="E1639" s="4">
        <v>2</v>
      </c>
      <c r="F1639" s="4">
        <v>38845</v>
      </c>
      <c r="G1639" s="4">
        <v>77690</v>
      </c>
      <c r="H1639" s="4">
        <v>127465</v>
      </c>
      <c r="I1639" s="4"/>
      <c r="J1639" s="4"/>
      <c r="K1639" s="4"/>
      <c r="L1639" s="6">
        <f t="shared" si="25"/>
        <v>0.609500647236496</v>
      </c>
      <c r="M1639" s="4"/>
    </row>
    <row r="1640" spans="1:13">
      <c r="A1640" s="3">
        <v>45721</v>
      </c>
      <c r="B1640" s="4" t="s">
        <v>2</v>
      </c>
      <c r="C1640" s="4" t="s">
        <v>28</v>
      </c>
      <c r="D1640" s="4" t="s">
        <v>32</v>
      </c>
      <c r="E1640" s="4">
        <v>9</v>
      </c>
      <c r="F1640" s="4">
        <v>12768</v>
      </c>
      <c r="G1640" s="4">
        <v>114912</v>
      </c>
      <c r="H1640" s="4">
        <v>78974</v>
      </c>
      <c r="I1640" s="4"/>
      <c r="J1640" s="4"/>
      <c r="K1640" s="4"/>
      <c r="L1640" s="6">
        <f t="shared" si="25"/>
        <v>1.45506115936891</v>
      </c>
      <c r="M1640" s="4"/>
    </row>
    <row r="1641" spans="1:13">
      <c r="A1641" s="3">
        <v>45692</v>
      </c>
      <c r="B1641" s="4" t="s">
        <v>3</v>
      </c>
      <c r="C1641" s="4" t="s">
        <v>22</v>
      </c>
      <c r="D1641" s="4" t="s">
        <v>23</v>
      </c>
      <c r="E1641" s="4">
        <v>3</v>
      </c>
      <c r="F1641" s="4">
        <v>11621</v>
      </c>
      <c r="G1641" s="4">
        <v>34863</v>
      </c>
      <c r="H1641" s="4">
        <v>22942</v>
      </c>
      <c r="I1641" s="4"/>
      <c r="J1641" s="4"/>
      <c r="K1641" s="4"/>
      <c r="L1641" s="6">
        <f t="shared" si="25"/>
        <v>1.51961468049865</v>
      </c>
      <c r="M1641" s="4"/>
    </row>
    <row r="1642" spans="1:13">
      <c r="A1642" s="3">
        <v>45752</v>
      </c>
      <c r="B1642" s="4" t="s">
        <v>2</v>
      </c>
      <c r="C1642" s="4" t="s">
        <v>24</v>
      </c>
      <c r="D1642" s="4" t="s">
        <v>23</v>
      </c>
      <c r="E1642" s="4">
        <v>6</v>
      </c>
      <c r="F1642" s="4">
        <v>25063</v>
      </c>
      <c r="G1642" s="4">
        <v>150378</v>
      </c>
      <c r="H1642" s="4">
        <v>31962</v>
      </c>
      <c r="I1642" s="4"/>
      <c r="J1642" s="4"/>
      <c r="K1642" s="4"/>
      <c r="L1642" s="6">
        <f t="shared" si="25"/>
        <v>4.70489956823728</v>
      </c>
      <c r="M1642" s="4"/>
    </row>
    <row r="1643" spans="1:13">
      <c r="A1643" s="3">
        <v>45678</v>
      </c>
      <c r="B1643" s="4" t="s">
        <v>2</v>
      </c>
      <c r="C1643" s="4" t="s">
        <v>22</v>
      </c>
      <c r="D1643" s="4" t="s">
        <v>23</v>
      </c>
      <c r="E1643" s="4">
        <v>4</v>
      </c>
      <c r="F1643" s="4">
        <v>24327</v>
      </c>
      <c r="G1643" s="4">
        <v>97308</v>
      </c>
      <c r="H1643" s="4">
        <v>165902</v>
      </c>
      <c r="I1643" s="4"/>
      <c r="J1643" s="4"/>
      <c r="K1643" s="4"/>
      <c r="L1643" s="6">
        <f t="shared" si="25"/>
        <v>0.586539041120662</v>
      </c>
      <c r="M1643" s="4"/>
    </row>
    <row r="1644" spans="1:13">
      <c r="A1644" s="3">
        <v>45691</v>
      </c>
      <c r="B1644" s="4" t="s">
        <v>6</v>
      </c>
      <c r="C1644" s="4" t="s">
        <v>22</v>
      </c>
      <c r="D1644" s="4" t="s">
        <v>29</v>
      </c>
      <c r="E1644" s="4">
        <v>4</v>
      </c>
      <c r="F1644" s="4">
        <v>19674</v>
      </c>
      <c r="G1644" s="4">
        <v>78696</v>
      </c>
      <c r="H1644" s="4">
        <v>196472</v>
      </c>
      <c r="I1644" s="4"/>
      <c r="J1644" s="4"/>
      <c r="K1644" s="4"/>
      <c r="L1644" s="6">
        <f t="shared" si="25"/>
        <v>0.400545624821858</v>
      </c>
      <c r="M1644" s="4"/>
    </row>
    <row r="1645" spans="1:13">
      <c r="A1645" s="3">
        <v>45732</v>
      </c>
      <c r="B1645" s="4" t="s">
        <v>2</v>
      </c>
      <c r="C1645" s="4" t="s">
        <v>26</v>
      </c>
      <c r="D1645" s="4" t="s">
        <v>30</v>
      </c>
      <c r="E1645" s="4">
        <v>9</v>
      </c>
      <c r="F1645" s="4">
        <v>37190</v>
      </c>
      <c r="G1645" s="4">
        <v>334710</v>
      </c>
      <c r="H1645" s="4">
        <v>36629</v>
      </c>
      <c r="I1645" s="4"/>
      <c r="J1645" s="4"/>
      <c r="K1645" s="4"/>
      <c r="L1645" s="6">
        <f t="shared" si="25"/>
        <v>9.13784160091731</v>
      </c>
      <c r="M1645" s="4"/>
    </row>
    <row r="1646" spans="1:13">
      <c r="A1646" s="3">
        <v>45677</v>
      </c>
      <c r="B1646" s="4" t="s">
        <v>4</v>
      </c>
      <c r="C1646" s="4" t="s">
        <v>28</v>
      </c>
      <c r="D1646" s="4" t="s">
        <v>31</v>
      </c>
      <c r="E1646" s="4">
        <v>8</v>
      </c>
      <c r="F1646" s="4">
        <v>25697</v>
      </c>
      <c r="G1646" s="4">
        <v>205576</v>
      </c>
      <c r="H1646" s="4">
        <v>120477</v>
      </c>
      <c r="I1646" s="4"/>
      <c r="J1646" s="4"/>
      <c r="K1646" s="4"/>
      <c r="L1646" s="6">
        <f t="shared" si="25"/>
        <v>1.70635058973912</v>
      </c>
      <c r="M1646" s="4"/>
    </row>
    <row r="1647" spans="1:13">
      <c r="A1647" s="3">
        <v>45754</v>
      </c>
      <c r="B1647" s="4" t="s">
        <v>3</v>
      </c>
      <c r="C1647" s="4" t="s">
        <v>24</v>
      </c>
      <c r="D1647" s="4" t="s">
        <v>25</v>
      </c>
      <c r="E1647" s="4">
        <v>3</v>
      </c>
      <c r="F1647" s="4">
        <v>10629</v>
      </c>
      <c r="G1647" s="4">
        <v>31887</v>
      </c>
      <c r="H1647" s="4">
        <v>128170</v>
      </c>
      <c r="I1647" s="4"/>
      <c r="J1647" s="4"/>
      <c r="K1647" s="4"/>
      <c r="L1647" s="6">
        <f t="shared" si="25"/>
        <v>0.248786767574315</v>
      </c>
      <c r="M1647" s="4"/>
    </row>
    <row r="1648" spans="1:13">
      <c r="A1648" s="3">
        <v>45684</v>
      </c>
      <c r="B1648" s="4" t="s">
        <v>8</v>
      </c>
      <c r="C1648" s="4" t="s">
        <v>28</v>
      </c>
      <c r="D1648" s="4" t="s">
        <v>32</v>
      </c>
      <c r="E1648" s="4">
        <v>3</v>
      </c>
      <c r="F1648" s="4">
        <v>47379</v>
      </c>
      <c r="G1648" s="4">
        <v>142137</v>
      </c>
      <c r="H1648" s="4">
        <v>171491</v>
      </c>
      <c r="I1648" s="4"/>
      <c r="J1648" s="4"/>
      <c r="K1648" s="4"/>
      <c r="L1648" s="6">
        <f t="shared" si="25"/>
        <v>0.828830667498586</v>
      </c>
      <c r="M1648" s="4"/>
    </row>
    <row r="1649" spans="1:13">
      <c r="A1649" s="3">
        <v>45805</v>
      </c>
      <c r="B1649" s="4" t="s">
        <v>5</v>
      </c>
      <c r="C1649" s="4" t="s">
        <v>26</v>
      </c>
      <c r="D1649" s="4" t="s">
        <v>25</v>
      </c>
      <c r="E1649" s="4">
        <v>5</v>
      </c>
      <c r="F1649" s="4">
        <v>48073</v>
      </c>
      <c r="G1649" s="4">
        <v>240365</v>
      </c>
      <c r="H1649" s="4">
        <v>134953</v>
      </c>
      <c r="I1649" s="4"/>
      <c r="J1649" s="4"/>
      <c r="K1649" s="4"/>
      <c r="L1649" s="6">
        <f t="shared" si="25"/>
        <v>1.78110156869429</v>
      </c>
      <c r="M1649" s="4"/>
    </row>
    <row r="1650" spans="1:13">
      <c r="A1650" s="3">
        <v>45795</v>
      </c>
      <c r="B1650" s="4" t="s">
        <v>3</v>
      </c>
      <c r="C1650" s="4" t="s">
        <v>28</v>
      </c>
      <c r="D1650" s="4" t="s">
        <v>25</v>
      </c>
      <c r="E1650" s="4">
        <v>9</v>
      </c>
      <c r="F1650" s="4">
        <v>27196</v>
      </c>
      <c r="G1650" s="4">
        <v>244764</v>
      </c>
      <c r="H1650" s="4">
        <v>139545</v>
      </c>
      <c r="I1650" s="4"/>
      <c r="J1650" s="4"/>
      <c r="K1650" s="4"/>
      <c r="L1650" s="6">
        <f t="shared" si="25"/>
        <v>1.75401483392454</v>
      </c>
      <c r="M1650" s="4"/>
    </row>
    <row r="1651" spans="1:13">
      <c r="A1651" s="3">
        <v>45672</v>
      </c>
      <c r="B1651" s="4" t="s">
        <v>7</v>
      </c>
      <c r="C1651" s="4" t="s">
        <v>26</v>
      </c>
      <c r="D1651" s="4" t="s">
        <v>31</v>
      </c>
      <c r="E1651" s="4">
        <v>4</v>
      </c>
      <c r="F1651" s="4">
        <v>43384</v>
      </c>
      <c r="G1651" s="4">
        <v>173536</v>
      </c>
      <c r="H1651" s="4">
        <v>30496</v>
      </c>
      <c r="I1651" s="4"/>
      <c r="J1651" s="4"/>
      <c r="K1651" s="4"/>
      <c r="L1651" s="6">
        <f t="shared" si="25"/>
        <v>5.69045120671564</v>
      </c>
      <c r="M1651" s="4"/>
    </row>
    <row r="1652" spans="1:13">
      <c r="A1652" s="3">
        <v>45720</v>
      </c>
      <c r="B1652" s="4" t="s">
        <v>7</v>
      </c>
      <c r="C1652" s="4" t="s">
        <v>28</v>
      </c>
      <c r="D1652" s="4" t="s">
        <v>31</v>
      </c>
      <c r="E1652" s="4">
        <v>3</v>
      </c>
      <c r="F1652" s="4">
        <v>9804</v>
      </c>
      <c r="G1652" s="4">
        <v>29412</v>
      </c>
      <c r="H1652" s="4">
        <v>68396</v>
      </c>
      <c r="I1652" s="4"/>
      <c r="J1652" s="4"/>
      <c r="K1652" s="4"/>
      <c r="L1652" s="6">
        <f t="shared" si="25"/>
        <v>0.430025147669454</v>
      </c>
      <c r="M1652" s="4"/>
    </row>
    <row r="1653" spans="1:13">
      <c r="A1653" s="3">
        <v>45764</v>
      </c>
      <c r="B1653" s="4" t="s">
        <v>4</v>
      </c>
      <c r="C1653" s="4" t="s">
        <v>22</v>
      </c>
      <c r="D1653" s="4" t="s">
        <v>23</v>
      </c>
      <c r="E1653" s="4">
        <v>2</v>
      </c>
      <c r="F1653" s="4">
        <v>40554</v>
      </c>
      <c r="G1653" s="4">
        <v>81108</v>
      </c>
      <c r="H1653" s="4">
        <v>122055</v>
      </c>
      <c r="I1653" s="4"/>
      <c r="J1653" s="4"/>
      <c r="K1653" s="4"/>
      <c r="L1653" s="6">
        <f t="shared" si="25"/>
        <v>0.664520093400516</v>
      </c>
      <c r="M1653" s="4"/>
    </row>
    <row r="1654" spans="1:13">
      <c r="A1654" s="3">
        <v>45708</v>
      </c>
      <c r="B1654" s="4" t="s">
        <v>8</v>
      </c>
      <c r="C1654" s="4" t="s">
        <v>24</v>
      </c>
      <c r="D1654" s="4" t="s">
        <v>31</v>
      </c>
      <c r="E1654" s="4">
        <v>3</v>
      </c>
      <c r="F1654" s="4">
        <v>44603</v>
      </c>
      <c r="G1654" s="4">
        <v>133809</v>
      </c>
      <c r="H1654" s="4">
        <v>58134</v>
      </c>
      <c r="I1654" s="4"/>
      <c r="J1654" s="4"/>
      <c r="K1654" s="4"/>
      <c r="L1654" s="6">
        <f t="shared" si="25"/>
        <v>2.30173392506967</v>
      </c>
      <c r="M1654" s="4"/>
    </row>
    <row r="1655" spans="1:13">
      <c r="A1655" s="3">
        <v>45697</v>
      </c>
      <c r="B1655" s="4" t="s">
        <v>3</v>
      </c>
      <c r="C1655" s="4" t="s">
        <v>24</v>
      </c>
      <c r="D1655" s="4" t="s">
        <v>30</v>
      </c>
      <c r="E1655" s="4">
        <v>2</v>
      </c>
      <c r="F1655" s="4">
        <v>38928</v>
      </c>
      <c r="G1655" s="4">
        <v>77856</v>
      </c>
      <c r="H1655" s="4">
        <v>24008</v>
      </c>
      <c r="I1655" s="4"/>
      <c r="J1655" s="4"/>
      <c r="K1655" s="4"/>
      <c r="L1655" s="6">
        <f t="shared" si="25"/>
        <v>3.242919026991</v>
      </c>
      <c r="M1655" s="4"/>
    </row>
    <row r="1656" spans="1:13">
      <c r="A1656" s="3">
        <v>45681</v>
      </c>
      <c r="B1656" s="4" t="s">
        <v>5</v>
      </c>
      <c r="C1656" s="4" t="s">
        <v>24</v>
      </c>
      <c r="D1656" s="4" t="s">
        <v>33</v>
      </c>
      <c r="E1656" s="4">
        <v>5</v>
      </c>
      <c r="F1656" s="4">
        <v>30236</v>
      </c>
      <c r="G1656" s="4">
        <v>151180</v>
      </c>
      <c r="H1656" s="4">
        <v>48498</v>
      </c>
      <c r="I1656" s="4"/>
      <c r="J1656" s="4"/>
      <c r="K1656" s="4"/>
      <c r="L1656" s="6">
        <f t="shared" si="25"/>
        <v>3.11724194812157</v>
      </c>
      <c r="M1656" s="4"/>
    </row>
    <row r="1657" spans="1:13">
      <c r="A1657" s="3">
        <v>45720</v>
      </c>
      <c r="B1657" s="4" t="s">
        <v>7</v>
      </c>
      <c r="C1657" s="4" t="s">
        <v>26</v>
      </c>
      <c r="D1657" s="4" t="s">
        <v>32</v>
      </c>
      <c r="E1657" s="4">
        <v>7</v>
      </c>
      <c r="F1657" s="4">
        <v>36897</v>
      </c>
      <c r="G1657" s="4">
        <v>258279</v>
      </c>
      <c r="H1657" s="4">
        <v>145184</v>
      </c>
      <c r="I1657" s="4"/>
      <c r="J1657" s="4"/>
      <c r="K1657" s="4"/>
      <c r="L1657" s="6">
        <f t="shared" si="25"/>
        <v>1.77897702226141</v>
      </c>
      <c r="M1657" s="4"/>
    </row>
    <row r="1658" spans="1:13">
      <c r="A1658" s="3">
        <v>45754</v>
      </c>
      <c r="B1658" s="4" t="s">
        <v>2</v>
      </c>
      <c r="C1658" s="4" t="s">
        <v>24</v>
      </c>
      <c r="D1658" s="4" t="s">
        <v>31</v>
      </c>
      <c r="E1658" s="4">
        <v>4</v>
      </c>
      <c r="F1658" s="4">
        <v>22180</v>
      </c>
      <c r="G1658" s="4">
        <v>88720</v>
      </c>
      <c r="H1658" s="4">
        <v>172911</v>
      </c>
      <c r="I1658" s="4"/>
      <c r="J1658" s="4"/>
      <c r="K1658" s="4"/>
      <c r="L1658" s="6">
        <f t="shared" si="25"/>
        <v>0.513096332795484</v>
      </c>
      <c r="M1658" s="4"/>
    </row>
    <row r="1659" spans="1:13">
      <c r="A1659" s="3">
        <v>45739</v>
      </c>
      <c r="B1659" s="4" t="s">
        <v>6</v>
      </c>
      <c r="C1659" s="4" t="s">
        <v>24</v>
      </c>
      <c r="D1659" s="4" t="s">
        <v>31</v>
      </c>
      <c r="E1659" s="4">
        <v>6</v>
      </c>
      <c r="F1659" s="4">
        <v>30815</v>
      </c>
      <c r="G1659" s="4">
        <v>184890</v>
      </c>
      <c r="H1659" s="4">
        <v>181977</v>
      </c>
      <c r="I1659" s="4"/>
      <c r="J1659" s="4"/>
      <c r="K1659" s="4"/>
      <c r="L1659" s="6">
        <f t="shared" si="25"/>
        <v>1.01600751743352</v>
      </c>
      <c r="M1659" s="4"/>
    </row>
    <row r="1660" spans="1:13">
      <c r="A1660" s="3">
        <v>45680</v>
      </c>
      <c r="B1660" s="4" t="s">
        <v>4</v>
      </c>
      <c r="C1660" s="4" t="s">
        <v>28</v>
      </c>
      <c r="D1660" s="4" t="s">
        <v>27</v>
      </c>
      <c r="E1660" s="4">
        <v>8</v>
      </c>
      <c r="F1660" s="4">
        <v>47171</v>
      </c>
      <c r="G1660" s="4">
        <v>377368</v>
      </c>
      <c r="H1660" s="4">
        <v>128854</v>
      </c>
      <c r="I1660" s="4"/>
      <c r="J1660" s="4"/>
      <c r="K1660" s="4"/>
      <c r="L1660" s="6">
        <f t="shared" si="25"/>
        <v>2.9286479271113</v>
      </c>
      <c r="M1660" s="4"/>
    </row>
    <row r="1661" spans="1:13">
      <c r="A1661" s="3">
        <v>45666</v>
      </c>
      <c r="B1661" s="4" t="s">
        <v>3</v>
      </c>
      <c r="C1661" s="4" t="s">
        <v>22</v>
      </c>
      <c r="D1661" s="4" t="s">
        <v>32</v>
      </c>
      <c r="E1661" s="4">
        <v>6</v>
      </c>
      <c r="F1661" s="4">
        <v>37399</v>
      </c>
      <c r="G1661" s="4">
        <v>224394</v>
      </c>
      <c r="H1661" s="4">
        <v>120725</v>
      </c>
      <c r="I1661" s="4"/>
      <c r="J1661" s="4"/>
      <c r="K1661" s="4"/>
      <c r="L1661" s="6">
        <f t="shared" si="25"/>
        <v>1.85872023193208</v>
      </c>
      <c r="M1661" s="4"/>
    </row>
    <row r="1662" spans="1:13">
      <c r="A1662" s="3">
        <v>45669</v>
      </c>
      <c r="B1662" s="4" t="s">
        <v>4</v>
      </c>
      <c r="C1662" s="4" t="s">
        <v>26</v>
      </c>
      <c r="D1662" s="4" t="s">
        <v>27</v>
      </c>
      <c r="E1662" s="4">
        <v>5</v>
      </c>
      <c r="F1662" s="4">
        <v>723</v>
      </c>
      <c r="G1662" s="4">
        <v>3615</v>
      </c>
      <c r="H1662" s="4">
        <v>155596</v>
      </c>
      <c r="I1662" s="4"/>
      <c r="J1662" s="4"/>
      <c r="K1662" s="4"/>
      <c r="L1662" s="6">
        <f t="shared" si="25"/>
        <v>0.0232332450705674</v>
      </c>
      <c r="M1662" s="4"/>
    </row>
    <row r="1663" spans="1:13">
      <c r="A1663" s="3">
        <v>45813</v>
      </c>
      <c r="B1663" s="4" t="s">
        <v>7</v>
      </c>
      <c r="C1663" s="4" t="s">
        <v>22</v>
      </c>
      <c r="D1663" s="4" t="s">
        <v>33</v>
      </c>
      <c r="E1663" s="4">
        <v>8</v>
      </c>
      <c r="F1663" s="4">
        <v>31083</v>
      </c>
      <c r="G1663" s="4">
        <v>248664</v>
      </c>
      <c r="H1663" s="4">
        <v>176807</v>
      </c>
      <c r="I1663" s="4"/>
      <c r="J1663" s="4"/>
      <c r="K1663" s="4"/>
      <c r="L1663" s="6">
        <f t="shared" si="25"/>
        <v>1.40641490438727</v>
      </c>
      <c r="M1663" s="4"/>
    </row>
    <row r="1664" spans="1:13">
      <c r="A1664" s="3">
        <v>45774</v>
      </c>
      <c r="B1664" s="4" t="s">
        <v>8</v>
      </c>
      <c r="C1664" s="4" t="s">
        <v>24</v>
      </c>
      <c r="D1664" s="4" t="s">
        <v>33</v>
      </c>
      <c r="E1664" s="4">
        <v>3</v>
      </c>
      <c r="F1664" s="4">
        <v>20617</v>
      </c>
      <c r="G1664" s="4">
        <v>61851</v>
      </c>
      <c r="H1664" s="4">
        <v>125758</v>
      </c>
      <c r="I1664" s="4"/>
      <c r="J1664" s="4"/>
      <c r="K1664" s="4"/>
      <c r="L1664" s="6">
        <f t="shared" si="25"/>
        <v>0.491825569745066</v>
      </c>
      <c r="M1664" s="4"/>
    </row>
    <row r="1665" spans="1:13">
      <c r="A1665" s="3">
        <v>45743</v>
      </c>
      <c r="B1665" s="4" t="s">
        <v>3</v>
      </c>
      <c r="C1665" s="4" t="s">
        <v>24</v>
      </c>
      <c r="D1665" s="4" t="s">
        <v>23</v>
      </c>
      <c r="E1665" s="4">
        <v>7</v>
      </c>
      <c r="F1665" s="4">
        <v>18702</v>
      </c>
      <c r="G1665" s="4">
        <v>130914</v>
      </c>
      <c r="H1665" s="4">
        <v>12669</v>
      </c>
      <c r="I1665" s="4"/>
      <c r="J1665" s="4"/>
      <c r="K1665" s="4"/>
      <c r="L1665" s="6">
        <f t="shared" si="25"/>
        <v>10.3334122661615</v>
      </c>
      <c r="M1665" s="4"/>
    </row>
    <row r="1666" spans="1:13">
      <c r="A1666" s="3">
        <v>45796</v>
      </c>
      <c r="B1666" s="4" t="s">
        <v>4</v>
      </c>
      <c r="C1666" s="4" t="s">
        <v>28</v>
      </c>
      <c r="D1666" s="4" t="s">
        <v>25</v>
      </c>
      <c r="E1666" s="4">
        <v>3</v>
      </c>
      <c r="F1666" s="4">
        <v>23810</v>
      </c>
      <c r="G1666" s="4">
        <v>71430</v>
      </c>
      <c r="H1666" s="4">
        <v>126170</v>
      </c>
      <c r="I1666" s="4"/>
      <c r="J1666" s="4"/>
      <c r="K1666" s="4"/>
      <c r="L1666" s="6">
        <f t="shared" si="25"/>
        <v>0.566140920979631</v>
      </c>
      <c r="M1666" s="4"/>
    </row>
    <row r="1667" spans="1:13">
      <c r="A1667" s="3">
        <v>45717</v>
      </c>
      <c r="B1667" s="4" t="s">
        <v>4</v>
      </c>
      <c r="C1667" s="4" t="s">
        <v>28</v>
      </c>
      <c r="D1667" s="4" t="s">
        <v>27</v>
      </c>
      <c r="E1667" s="4">
        <v>3</v>
      </c>
      <c r="F1667" s="4">
        <v>36145</v>
      </c>
      <c r="G1667" s="4">
        <v>108435</v>
      </c>
      <c r="H1667" s="4">
        <v>136641</v>
      </c>
      <c r="I1667" s="4"/>
      <c r="J1667" s="4"/>
      <c r="K1667" s="4"/>
      <c r="L1667" s="6">
        <f t="shared" ref="L1667:L1730" si="26">G1667/H1667</f>
        <v>0.793575866687158</v>
      </c>
      <c r="M1667" s="4"/>
    </row>
    <row r="1668" spans="1:13">
      <c r="A1668" s="3">
        <v>45781</v>
      </c>
      <c r="B1668" s="4" t="s">
        <v>3</v>
      </c>
      <c r="C1668" s="4" t="s">
        <v>28</v>
      </c>
      <c r="D1668" s="4" t="s">
        <v>31</v>
      </c>
      <c r="E1668" s="4">
        <v>9</v>
      </c>
      <c r="F1668" s="4">
        <v>36295</v>
      </c>
      <c r="G1668" s="4">
        <v>326655</v>
      </c>
      <c r="H1668" s="4">
        <v>30420</v>
      </c>
      <c r="I1668" s="4"/>
      <c r="J1668" s="4"/>
      <c r="K1668" s="4"/>
      <c r="L1668" s="6">
        <f t="shared" si="26"/>
        <v>10.7381656804734</v>
      </c>
      <c r="M1668" s="4"/>
    </row>
    <row r="1669" spans="1:13">
      <c r="A1669" s="3">
        <v>45692</v>
      </c>
      <c r="B1669" s="4" t="s">
        <v>8</v>
      </c>
      <c r="C1669" s="4" t="s">
        <v>22</v>
      </c>
      <c r="D1669" s="4" t="s">
        <v>23</v>
      </c>
      <c r="E1669" s="4">
        <v>1</v>
      </c>
      <c r="F1669" s="4">
        <v>49356</v>
      </c>
      <c r="G1669" s="4">
        <v>49356</v>
      </c>
      <c r="H1669" s="4">
        <v>8315</v>
      </c>
      <c r="I1669" s="4"/>
      <c r="J1669" s="4"/>
      <c r="K1669" s="4"/>
      <c r="L1669" s="6">
        <f t="shared" si="26"/>
        <v>5.93577871316897</v>
      </c>
      <c r="M1669" s="4"/>
    </row>
    <row r="1670" spans="1:13">
      <c r="A1670" s="3">
        <v>45663</v>
      </c>
      <c r="B1670" s="4" t="s">
        <v>7</v>
      </c>
      <c r="C1670" s="4" t="s">
        <v>26</v>
      </c>
      <c r="D1670" s="4" t="s">
        <v>30</v>
      </c>
      <c r="E1670" s="4">
        <v>4</v>
      </c>
      <c r="F1670" s="4">
        <v>40900</v>
      </c>
      <c r="G1670" s="4">
        <v>163600</v>
      </c>
      <c r="H1670" s="4">
        <v>79588</v>
      </c>
      <c r="I1670" s="4"/>
      <c r="J1670" s="4"/>
      <c r="K1670" s="4"/>
      <c r="L1670" s="6">
        <f t="shared" si="26"/>
        <v>2.05558626928683</v>
      </c>
      <c r="M1670" s="4"/>
    </row>
    <row r="1671" spans="1:13">
      <c r="A1671" s="3">
        <v>45742</v>
      </c>
      <c r="B1671" s="4" t="s">
        <v>3</v>
      </c>
      <c r="C1671" s="4" t="s">
        <v>22</v>
      </c>
      <c r="D1671" s="4" t="s">
        <v>31</v>
      </c>
      <c r="E1671" s="4">
        <v>10</v>
      </c>
      <c r="F1671" s="4">
        <v>30284</v>
      </c>
      <c r="G1671" s="4">
        <v>302840</v>
      </c>
      <c r="H1671" s="4">
        <v>92290</v>
      </c>
      <c r="I1671" s="4"/>
      <c r="J1671" s="4"/>
      <c r="K1671" s="4"/>
      <c r="L1671" s="6">
        <f t="shared" si="26"/>
        <v>3.28139560082349</v>
      </c>
      <c r="M1671" s="4"/>
    </row>
    <row r="1672" spans="1:13">
      <c r="A1672" s="3">
        <v>45713</v>
      </c>
      <c r="B1672" s="4" t="s">
        <v>5</v>
      </c>
      <c r="C1672" s="4" t="s">
        <v>28</v>
      </c>
      <c r="D1672" s="4" t="s">
        <v>29</v>
      </c>
      <c r="E1672" s="4">
        <v>9</v>
      </c>
      <c r="F1672" s="4">
        <v>21073</v>
      </c>
      <c r="G1672" s="4">
        <v>189657</v>
      </c>
      <c r="H1672" s="4">
        <v>20695</v>
      </c>
      <c r="I1672" s="4"/>
      <c r="J1672" s="4"/>
      <c r="K1672" s="4"/>
      <c r="L1672" s="6">
        <f t="shared" si="26"/>
        <v>9.16438753322059</v>
      </c>
      <c r="M1672" s="4"/>
    </row>
    <row r="1673" spans="1:13">
      <c r="A1673" s="3">
        <v>45701</v>
      </c>
      <c r="B1673" s="4" t="s">
        <v>4</v>
      </c>
      <c r="C1673" s="4" t="s">
        <v>24</v>
      </c>
      <c r="D1673" s="4" t="s">
        <v>23</v>
      </c>
      <c r="E1673" s="4">
        <v>8</v>
      </c>
      <c r="F1673" s="4">
        <v>10044</v>
      </c>
      <c r="G1673" s="4">
        <v>80352</v>
      </c>
      <c r="H1673" s="4">
        <v>70988</v>
      </c>
      <c r="I1673" s="4"/>
      <c r="J1673" s="4"/>
      <c r="K1673" s="4"/>
      <c r="L1673" s="6">
        <f t="shared" si="26"/>
        <v>1.13190961852707</v>
      </c>
      <c r="M1673" s="4"/>
    </row>
    <row r="1674" spans="1:13">
      <c r="A1674" s="3">
        <v>45687</v>
      </c>
      <c r="B1674" s="4" t="s">
        <v>7</v>
      </c>
      <c r="C1674" s="4" t="s">
        <v>26</v>
      </c>
      <c r="D1674" s="4" t="s">
        <v>30</v>
      </c>
      <c r="E1674" s="4">
        <v>9</v>
      </c>
      <c r="F1674" s="4">
        <v>44087</v>
      </c>
      <c r="G1674" s="4">
        <v>396783</v>
      </c>
      <c r="H1674" s="4">
        <v>195465</v>
      </c>
      <c r="I1674" s="4"/>
      <c r="J1674" s="4"/>
      <c r="K1674" s="4"/>
      <c r="L1674" s="6">
        <f t="shared" si="26"/>
        <v>2.02994397974062</v>
      </c>
      <c r="M1674" s="4"/>
    </row>
    <row r="1675" spans="1:13">
      <c r="A1675" s="3">
        <v>45658</v>
      </c>
      <c r="B1675" s="4" t="s">
        <v>2</v>
      </c>
      <c r="C1675" s="4" t="s">
        <v>28</v>
      </c>
      <c r="D1675" s="4" t="s">
        <v>29</v>
      </c>
      <c r="E1675" s="4">
        <v>3</v>
      </c>
      <c r="F1675" s="4">
        <v>5710</v>
      </c>
      <c r="G1675" s="4">
        <v>17130</v>
      </c>
      <c r="H1675" s="4">
        <v>6285</v>
      </c>
      <c r="I1675" s="4"/>
      <c r="J1675" s="4"/>
      <c r="K1675" s="4"/>
      <c r="L1675" s="6">
        <f t="shared" si="26"/>
        <v>2.7255369928401</v>
      </c>
      <c r="M1675" s="4"/>
    </row>
    <row r="1676" spans="1:13">
      <c r="A1676" s="3">
        <v>45719</v>
      </c>
      <c r="B1676" s="4" t="s">
        <v>6</v>
      </c>
      <c r="C1676" s="4" t="s">
        <v>22</v>
      </c>
      <c r="D1676" s="4" t="s">
        <v>29</v>
      </c>
      <c r="E1676" s="4">
        <v>5</v>
      </c>
      <c r="F1676" s="4">
        <v>3368</v>
      </c>
      <c r="G1676" s="4">
        <v>16840</v>
      </c>
      <c r="H1676" s="4">
        <v>119254</v>
      </c>
      <c r="I1676" s="4"/>
      <c r="J1676" s="4"/>
      <c r="K1676" s="4"/>
      <c r="L1676" s="6">
        <f t="shared" si="26"/>
        <v>0.141211196270146</v>
      </c>
      <c r="M1676" s="4"/>
    </row>
    <row r="1677" spans="1:13">
      <c r="A1677" s="3">
        <v>45771</v>
      </c>
      <c r="B1677" s="4" t="s">
        <v>8</v>
      </c>
      <c r="C1677" s="4" t="s">
        <v>24</v>
      </c>
      <c r="D1677" s="4" t="s">
        <v>33</v>
      </c>
      <c r="E1677" s="4">
        <v>6</v>
      </c>
      <c r="F1677" s="4">
        <v>40853</v>
      </c>
      <c r="G1677" s="4">
        <v>245118</v>
      </c>
      <c r="H1677" s="4">
        <v>188968</v>
      </c>
      <c r="I1677" s="4"/>
      <c r="J1677" s="4"/>
      <c r="K1677" s="4"/>
      <c r="L1677" s="6">
        <f t="shared" si="26"/>
        <v>1.29714025655137</v>
      </c>
      <c r="M1677" s="4"/>
    </row>
    <row r="1678" spans="1:13">
      <c r="A1678" s="3">
        <v>45770</v>
      </c>
      <c r="B1678" s="4" t="s">
        <v>3</v>
      </c>
      <c r="C1678" s="4" t="s">
        <v>26</v>
      </c>
      <c r="D1678" s="4" t="s">
        <v>32</v>
      </c>
      <c r="E1678" s="4">
        <v>7</v>
      </c>
      <c r="F1678" s="4">
        <v>7025</v>
      </c>
      <c r="G1678" s="4">
        <v>49175</v>
      </c>
      <c r="H1678" s="4">
        <v>40035</v>
      </c>
      <c r="I1678" s="4"/>
      <c r="J1678" s="4"/>
      <c r="K1678" s="4"/>
      <c r="L1678" s="6">
        <f t="shared" si="26"/>
        <v>1.22830023729237</v>
      </c>
      <c r="M1678" s="4"/>
    </row>
    <row r="1679" spans="1:13">
      <c r="A1679" s="3">
        <v>45798</v>
      </c>
      <c r="B1679" s="4" t="s">
        <v>2</v>
      </c>
      <c r="C1679" s="4" t="s">
        <v>26</v>
      </c>
      <c r="D1679" s="4" t="s">
        <v>33</v>
      </c>
      <c r="E1679" s="4">
        <v>2</v>
      </c>
      <c r="F1679" s="4">
        <v>36954</v>
      </c>
      <c r="G1679" s="4">
        <v>73908</v>
      </c>
      <c r="H1679" s="4">
        <v>135547</v>
      </c>
      <c r="I1679" s="4"/>
      <c r="J1679" s="4"/>
      <c r="K1679" s="4"/>
      <c r="L1679" s="6">
        <f t="shared" si="26"/>
        <v>0.545257364604159</v>
      </c>
      <c r="M1679" s="4"/>
    </row>
    <row r="1680" spans="1:13">
      <c r="A1680" s="3">
        <v>45688</v>
      </c>
      <c r="B1680" s="4" t="s">
        <v>5</v>
      </c>
      <c r="C1680" s="4" t="s">
        <v>26</v>
      </c>
      <c r="D1680" s="4" t="s">
        <v>33</v>
      </c>
      <c r="E1680" s="4">
        <v>5</v>
      </c>
      <c r="F1680" s="4">
        <v>18849</v>
      </c>
      <c r="G1680" s="4">
        <v>94245</v>
      </c>
      <c r="H1680" s="4">
        <v>160727</v>
      </c>
      <c r="I1680" s="4"/>
      <c r="J1680" s="4"/>
      <c r="K1680" s="4"/>
      <c r="L1680" s="6">
        <f t="shared" si="26"/>
        <v>0.58636694519278</v>
      </c>
      <c r="M1680" s="4"/>
    </row>
    <row r="1681" spans="1:13">
      <c r="A1681" s="3">
        <v>45768</v>
      </c>
      <c r="B1681" s="4" t="s">
        <v>3</v>
      </c>
      <c r="C1681" s="4" t="s">
        <v>28</v>
      </c>
      <c r="D1681" s="4" t="s">
        <v>25</v>
      </c>
      <c r="E1681" s="4">
        <v>6</v>
      </c>
      <c r="F1681" s="4">
        <v>37352</v>
      </c>
      <c r="G1681" s="4">
        <v>224112</v>
      </c>
      <c r="H1681" s="4">
        <v>9512</v>
      </c>
      <c r="I1681" s="4"/>
      <c r="J1681" s="4"/>
      <c r="K1681" s="4"/>
      <c r="L1681" s="6">
        <f t="shared" si="26"/>
        <v>23.5609756097561</v>
      </c>
      <c r="M1681" s="4"/>
    </row>
    <row r="1682" spans="1:13">
      <c r="A1682" s="3">
        <v>45777</v>
      </c>
      <c r="B1682" s="4" t="s">
        <v>5</v>
      </c>
      <c r="C1682" s="4" t="s">
        <v>28</v>
      </c>
      <c r="D1682" s="4" t="s">
        <v>31</v>
      </c>
      <c r="E1682" s="4">
        <v>1</v>
      </c>
      <c r="F1682" s="4">
        <v>31652</v>
      </c>
      <c r="G1682" s="4">
        <v>31652</v>
      </c>
      <c r="H1682" s="4">
        <v>129148</v>
      </c>
      <c r="I1682" s="4"/>
      <c r="J1682" s="4"/>
      <c r="K1682" s="4"/>
      <c r="L1682" s="6">
        <f t="shared" si="26"/>
        <v>0.245083160405117</v>
      </c>
      <c r="M1682" s="4"/>
    </row>
    <row r="1683" spans="1:13">
      <c r="A1683" s="3">
        <v>45792</v>
      </c>
      <c r="B1683" s="4" t="s">
        <v>3</v>
      </c>
      <c r="C1683" s="4" t="s">
        <v>24</v>
      </c>
      <c r="D1683" s="4" t="s">
        <v>31</v>
      </c>
      <c r="E1683" s="4">
        <v>2</v>
      </c>
      <c r="F1683" s="4">
        <v>12217</v>
      </c>
      <c r="G1683" s="4">
        <v>24434</v>
      </c>
      <c r="H1683" s="4">
        <v>139655</v>
      </c>
      <c r="I1683" s="4"/>
      <c r="J1683" s="4"/>
      <c r="K1683" s="4"/>
      <c r="L1683" s="6">
        <f t="shared" si="26"/>
        <v>0.174959722172497</v>
      </c>
      <c r="M1683" s="4"/>
    </row>
    <row r="1684" spans="1:13">
      <c r="A1684" s="3">
        <v>45765</v>
      </c>
      <c r="B1684" s="4" t="s">
        <v>7</v>
      </c>
      <c r="C1684" s="4" t="s">
        <v>26</v>
      </c>
      <c r="D1684" s="4" t="s">
        <v>23</v>
      </c>
      <c r="E1684" s="4">
        <v>8</v>
      </c>
      <c r="F1684" s="4">
        <v>40640</v>
      </c>
      <c r="G1684" s="4">
        <v>325120</v>
      </c>
      <c r="H1684" s="4">
        <v>47522</v>
      </c>
      <c r="I1684" s="4"/>
      <c r="J1684" s="4"/>
      <c r="K1684" s="4"/>
      <c r="L1684" s="6">
        <f t="shared" si="26"/>
        <v>6.84146290139304</v>
      </c>
      <c r="M1684" s="4"/>
    </row>
    <row r="1685" spans="1:13">
      <c r="A1685" s="3">
        <v>45806</v>
      </c>
      <c r="B1685" s="4" t="s">
        <v>3</v>
      </c>
      <c r="C1685" s="4" t="s">
        <v>26</v>
      </c>
      <c r="D1685" s="4" t="s">
        <v>33</v>
      </c>
      <c r="E1685" s="4">
        <v>10</v>
      </c>
      <c r="F1685" s="4">
        <v>19997</v>
      </c>
      <c r="G1685" s="4">
        <v>199970</v>
      </c>
      <c r="H1685" s="4">
        <v>135183</v>
      </c>
      <c r="I1685" s="4"/>
      <c r="J1685" s="4"/>
      <c r="K1685" s="4"/>
      <c r="L1685" s="6">
        <f t="shared" si="26"/>
        <v>1.47925404821612</v>
      </c>
      <c r="M1685" s="4"/>
    </row>
    <row r="1686" spans="1:13">
      <c r="A1686" s="3">
        <v>45705</v>
      </c>
      <c r="B1686" s="4" t="s">
        <v>2</v>
      </c>
      <c r="C1686" s="4" t="s">
        <v>26</v>
      </c>
      <c r="D1686" s="4" t="s">
        <v>31</v>
      </c>
      <c r="E1686" s="4">
        <v>1</v>
      </c>
      <c r="F1686" s="4">
        <v>8141</v>
      </c>
      <c r="G1686" s="4">
        <v>8141</v>
      </c>
      <c r="H1686" s="4">
        <v>180178</v>
      </c>
      <c r="I1686" s="4"/>
      <c r="J1686" s="4"/>
      <c r="K1686" s="4"/>
      <c r="L1686" s="6">
        <f t="shared" si="26"/>
        <v>0.0451830967154703</v>
      </c>
      <c r="M1686" s="4"/>
    </row>
    <row r="1687" spans="1:13">
      <c r="A1687" s="3">
        <v>45722</v>
      </c>
      <c r="B1687" s="4" t="s">
        <v>3</v>
      </c>
      <c r="C1687" s="4" t="s">
        <v>22</v>
      </c>
      <c r="D1687" s="4" t="s">
        <v>31</v>
      </c>
      <c r="E1687" s="4">
        <v>5</v>
      </c>
      <c r="F1687" s="4">
        <v>24319</v>
      </c>
      <c r="G1687" s="4">
        <v>121595</v>
      </c>
      <c r="H1687" s="4">
        <v>11245</v>
      </c>
      <c r="I1687" s="4"/>
      <c r="J1687" s="4"/>
      <c r="K1687" s="4"/>
      <c r="L1687" s="6">
        <f t="shared" si="26"/>
        <v>10.8132503334815</v>
      </c>
      <c r="M1687" s="4"/>
    </row>
    <row r="1688" spans="1:13">
      <c r="A1688" s="3">
        <v>45770</v>
      </c>
      <c r="B1688" s="4" t="s">
        <v>4</v>
      </c>
      <c r="C1688" s="4" t="s">
        <v>24</v>
      </c>
      <c r="D1688" s="4" t="s">
        <v>29</v>
      </c>
      <c r="E1688" s="4">
        <v>8</v>
      </c>
      <c r="F1688" s="4">
        <v>4150</v>
      </c>
      <c r="G1688" s="4">
        <v>33200</v>
      </c>
      <c r="H1688" s="4">
        <v>146669</v>
      </c>
      <c r="I1688" s="4"/>
      <c r="J1688" s="4"/>
      <c r="K1688" s="4"/>
      <c r="L1688" s="6">
        <f t="shared" si="26"/>
        <v>0.226360035181258</v>
      </c>
      <c r="M1688" s="4"/>
    </row>
    <row r="1689" spans="1:13">
      <c r="A1689" s="3">
        <v>45795</v>
      </c>
      <c r="B1689" s="4" t="s">
        <v>6</v>
      </c>
      <c r="C1689" s="4" t="s">
        <v>24</v>
      </c>
      <c r="D1689" s="4" t="s">
        <v>31</v>
      </c>
      <c r="E1689" s="4">
        <v>8</v>
      </c>
      <c r="F1689" s="4">
        <v>13215</v>
      </c>
      <c r="G1689" s="4">
        <v>105720</v>
      </c>
      <c r="H1689" s="4">
        <v>122948</v>
      </c>
      <c r="I1689" s="4"/>
      <c r="J1689" s="4"/>
      <c r="K1689" s="4"/>
      <c r="L1689" s="6">
        <f t="shared" si="26"/>
        <v>0.859875719816508</v>
      </c>
      <c r="M1689" s="4"/>
    </row>
    <row r="1690" spans="1:13">
      <c r="A1690" s="3">
        <v>45720</v>
      </c>
      <c r="B1690" s="4" t="s">
        <v>6</v>
      </c>
      <c r="C1690" s="4" t="s">
        <v>24</v>
      </c>
      <c r="D1690" s="4" t="s">
        <v>27</v>
      </c>
      <c r="E1690" s="4">
        <v>7</v>
      </c>
      <c r="F1690" s="4">
        <v>30010</v>
      </c>
      <c r="G1690" s="4">
        <v>210070</v>
      </c>
      <c r="H1690" s="4">
        <v>179751</v>
      </c>
      <c r="I1690" s="4"/>
      <c r="J1690" s="4"/>
      <c r="K1690" s="4"/>
      <c r="L1690" s="6">
        <f t="shared" si="26"/>
        <v>1.16867221879155</v>
      </c>
      <c r="M1690" s="4"/>
    </row>
    <row r="1691" spans="1:13">
      <c r="A1691" s="3">
        <v>45738</v>
      </c>
      <c r="B1691" s="4" t="s">
        <v>4</v>
      </c>
      <c r="C1691" s="4" t="s">
        <v>22</v>
      </c>
      <c r="D1691" s="4" t="s">
        <v>23</v>
      </c>
      <c r="E1691" s="4">
        <v>2</v>
      </c>
      <c r="F1691" s="4">
        <v>1893</v>
      </c>
      <c r="G1691" s="4">
        <v>3786</v>
      </c>
      <c r="H1691" s="4">
        <v>75267</v>
      </c>
      <c r="I1691" s="4"/>
      <c r="J1691" s="4"/>
      <c r="K1691" s="4"/>
      <c r="L1691" s="6">
        <f t="shared" si="26"/>
        <v>0.0503009286938499</v>
      </c>
      <c r="M1691" s="4"/>
    </row>
    <row r="1692" spans="1:13">
      <c r="A1692" s="3">
        <v>45700</v>
      </c>
      <c r="B1692" s="4" t="s">
        <v>5</v>
      </c>
      <c r="C1692" s="4" t="s">
        <v>26</v>
      </c>
      <c r="D1692" s="4" t="s">
        <v>29</v>
      </c>
      <c r="E1692" s="4">
        <v>2</v>
      </c>
      <c r="F1692" s="4">
        <v>13148</v>
      </c>
      <c r="G1692" s="4">
        <v>26296</v>
      </c>
      <c r="H1692" s="4">
        <v>108689</v>
      </c>
      <c r="I1692" s="4"/>
      <c r="J1692" s="4"/>
      <c r="K1692" s="4"/>
      <c r="L1692" s="6">
        <f t="shared" si="26"/>
        <v>0.241938006606004</v>
      </c>
      <c r="M1692" s="4"/>
    </row>
    <row r="1693" spans="1:13">
      <c r="A1693" s="3">
        <v>45820</v>
      </c>
      <c r="B1693" s="4" t="s">
        <v>2</v>
      </c>
      <c r="C1693" s="4" t="s">
        <v>28</v>
      </c>
      <c r="D1693" s="4" t="s">
        <v>27</v>
      </c>
      <c r="E1693" s="4">
        <v>9</v>
      </c>
      <c r="F1693" s="4">
        <v>19791</v>
      </c>
      <c r="G1693" s="4">
        <v>178119</v>
      </c>
      <c r="H1693" s="4">
        <v>187157</v>
      </c>
      <c r="I1693" s="4"/>
      <c r="J1693" s="4"/>
      <c r="K1693" s="4"/>
      <c r="L1693" s="6">
        <f t="shared" si="26"/>
        <v>0.9517089929845</v>
      </c>
      <c r="M1693" s="4"/>
    </row>
    <row r="1694" spans="1:13">
      <c r="A1694" s="3">
        <v>45688</v>
      </c>
      <c r="B1694" s="4" t="s">
        <v>7</v>
      </c>
      <c r="C1694" s="4" t="s">
        <v>28</v>
      </c>
      <c r="D1694" s="4" t="s">
        <v>33</v>
      </c>
      <c r="E1694" s="4">
        <v>6</v>
      </c>
      <c r="F1694" s="4">
        <v>46948</v>
      </c>
      <c r="G1694" s="4">
        <v>281688</v>
      </c>
      <c r="H1694" s="4">
        <v>146158</v>
      </c>
      <c r="I1694" s="4"/>
      <c r="J1694" s="4"/>
      <c r="K1694" s="4"/>
      <c r="L1694" s="6">
        <f t="shared" si="26"/>
        <v>1.92728417192353</v>
      </c>
      <c r="M1694" s="4"/>
    </row>
    <row r="1695" spans="1:13">
      <c r="A1695" s="3">
        <v>45715</v>
      </c>
      <c r="B1695" s="4" t="s">
        <v>7</v>
      </c>
      <c r="C1695" s="4" t="s">
        <v>26</v>
      </c>
      <c r="D1695" s="4" t="s">
        <v>29</v>
      </c>
      <c r="E1695" s="4">
        <v>5</v>
      </c>
      <c r="F1695" s="4">
        <v>34421</v>
      </c>
      <c r="G1695" s="4">
        <v>172105</v>
      </c>
      <c r="H1695" s="4">
        <v>107746</v>
      </c>
      <c r="I1695" s="4"/>
      <c r="J1695" s="4"/>
      <c r="K1695" s="4"/>
      <c r="L1695" s="6">
        <f t="shared" si="26"/>
        <v>1.59732147829154</v>
      </c>
      <c r="M1695" s="4"/>
    </row>
    <row r="1696" spans="1:13">
      <c r="A1696" s="3">
        <v>45767</v>
      </c>
      <c r="B1696" s="4" t="s">
        <v>6</v>
      </c>
      <c r="C1696" s="4" t="s">
        <v>26</v>
      </c>
      <c r="D1696" s="4" t="s">
        <v>33</v>
      </c>
      <c r="E1696" s="4">
        <v>9</v>
      </c>
      <c r="F1696" s="4">
        <v>49286</v>
      </c>
      <c r="G1696" s="4">
        <v>443574</v>
      </c>
      <c r="H1696" s="4">
        <v>153410</v>
      </c>
      <c r="I1696" s="4"/>
      <c r="J1696" s="4"/>
      <c r="K1696" s="4"/>
      <c r="L1696" s="6">
        <f t="shared" si="26"/>
        <v>2.89142819894401</v>
      </c>
      <c r="M1696" s="4"/>
    </row>
    <row r="1697" spans="1:13">
      <c r="A1697" s="3">
        <v>45812</v>
      </c>
      <c r="B1697" s="4" t="s">
        <v>3</v>
      </c>
      <c r="C1697" s="4" t="s">
        <v>26</v>
      </c>
      <c r="D1697" s="4" t="s">
        <v>31</v>
      </c>
      <c r="E1697" s="4">
        <v>9</v>
      </c>
      <c r="F1697" s="4">
        <v>10862</v>
      </c>
      <c r="G1697" s="4">
        <v>97758</v>
      </c>
      <c r="H1697" s="4">
        <v>22242</v>
      </c>
      <c r="I1697" s="4"/>
      <c r="J1697" s="4"/>
      <c r="K1697" s="4"/>
      <c r="L1697" s="6">
        <f t="shared" si="26"/>
        <v>4.39519827353655</v>
      </c>
      <c r="M1697" s="4"/>
    </row>
    <row r="1698" spans="1:13">
      <c r="A1698" s="3">
        <v>45728</v>
      </c>
      <c r="B1698" s="4" t="s">
        <v>5</v>
      </c>
      <c r="C1698" s="4" t="s">
        <v>24</v>
      </c>
      <c r="D1698" s="4" t="s">
        <v>25</v>
      </c>
      <c r="E1698" s="4">
        <v>6</v>
      </c>
      <c r="F1698" s="4">
        <v>8819</v>
      </c>
      <c r="G1698" s="4">
        <v>52914</v>
      </c>
      <c r="H1698" s="4">
        <v>193066</v>
      </c>
      <c r="I1698" s="4"/>
      <c r="J1698" s="4"/>
      <c r="K1698" s="4"/>
      <c r="L1698" s="6">
        <f t="shared" si="26"/>
        <v>0.274072078978173</v>
      </c>
      <c r="M1698" s="4"/>
    </row>
    <row r="1699" spans="1:13">
      <c r="A1699" s="3">
        <v>45762</v>
      </c>
      <c r="B1699" s="4" t="s">
        <v>4</v>
      </c>
      <c r="C1699" s="4" t="s">
        <v>24</v>
      </c>
      <c r="D1699" s="4" t="s">
        <v>27</v>
      </c>
      <c r="E1699" s="4">
        <v>3</v>
      </c>
      <c r="F1699" s="4">
        <v>18133</v>
      </c>
      <c r="G1699" s="4">
        <v>54399</v>
      </c>
      <c r="H1699" s="4">
        <v>66858</v>
      </c>
      <c r="I1699" s="4"/>
      <c r="J1699" s="4"/>
      <c r="K1699" s="4"/>
      <c r="L1699" s="6">
        <f t="shared" si="26"/>
        <v>0.813649825002244</v>
      </c>
      <c r="M1699" s="4"/>
    </row>
    <row r="1700" spans="1:13">
      <c r="A1700" s="3">
        <v>45727</v>
      </c>
      <c r="B1700" s="4" t="s">
        <v>6</v>
      </c>
      <c r="C1700" s="4" t="s">
        <v>28</v>
      </c>
      <c r="D1700" s="4" t="s">
        <v>30</v>
      </c>
      <c r="E1700" s="4">
        <v>8</v>
      </c>
      <c r="F1700" s="4">
        <v>2178</v>
      </c>
      <c r="G1700" s="4">
        <v>17424</v>
      </c>
      <c r="H1700" s="4">
        <v>168019</v>
      </c>
      <c r="I1700" s="4"/>
      <c r="J1700" s="4"/>
      <c r="K1700" s="4"/>
      <c r="L1700" s="6">
        <f t="shared" si="26"/>
        <v>0.10370255744886</v>
      </c>
      <c r="M1700" s="4"/>
    </row>
    <row r="1701" spans="1:13">
      <c r="A1701" s="3">
        <v>45760</v>
      </c>
      <c r="B1701" s="4" t="s">
        <v>6</v>
      </c>
      <c r="C1701" s="4" t="s">
        <v>24</v>
      </c>
      <c r="D1701" s="4" t="s">
        <v>30</v>
      </c>
      <c r="E1701" s="4">
        <v>5</v>
      </c>
      <c r="F1701" s="4">
        <v>14698</v>
      </c>
      <c r="G1701" s="4">
        <v>73490</v>
      </c>
      <c r="H1701" s="4">
        <v>193534</v>
      </c>
      <c r="I1701" s="4"/>
      <c r="J1701" s="4"/>
      <c r="K1701" s="4"/>
      <c r="L1701" s="6">
        <f t="shared" si="26"/>
        <v>0.379726559674269</v>
      </c>
      <c r="M1701" s="4"/>
    </row>
    <row r="1702" spans="1:13">
      <c r="A1702" s="3">
        <v>45747</v>
      </c>
      <c r="B1702" s="4" t="s">
        <v>8</v>
      </c>
      <c r="C1702" s="4" t="s">
        <v>24</v>
      </c>
      <c r="D1702" s="4" t="s">
        <v>29</v>
      </c>
      <c r="E1702" s="4">
        <v>7</v>
      </c>
      <c r="F1702" s="4">
        <v>16564</v>
      </c>
      <c r="G1702" s="4">
        <v>115948</v>
      </c>
      <c r="H1702" s="4">
        <v>95233</v>
      </c>
      <c r="I1702" s="4"/>
      <c r="J1702" s="4"/>
      <c r="K1702" s="4"/>
      <c r="L1702" s="6">
        <f t="shared" si="26"/>
        <v>1.21751913727384</v>
      </c>
      <c r="M1702" s="4"/>
    </row>
    <row r="1703" spans="1:13">
      <c r="A1703" s="3">
        <v>45695</v>
      </c>
      <c r="B1703" s="4" t="s">
        <v>2</v>
      </c>
      <c r="C1703" s="4" t="s">
        <v>22</v>
      </c>
      <c r="D1703" s="4" t="s">
        <v>30</v>
      </c>
      <c r="E1703" s="4">
        <v>2</v>
      </c>
      <c r="F1703" s="4">
        <v>40665</v>
      </c>
      <c r="G1703" s="4">
        <v>81330</v>
      </c>
      <c r="H1703" s="4">
        <v>148886</v>
      </c>
      <c r="I1703" s="4"/>
      <c r="J1703" s="4"/>
      <c r="K1703" s="4"/>
      <c r="L1703" s="6">
        <f t="shared" si="26"/>
        <v>0.546256867670567</v>
      </c>
      <c r="M1703" s="4"/>
    </row>
    <row r="1704" spans="1:13">
      <c r="A1704" s="3">
        <v>45827</v>
      </c>
      <c r="B1704" s="4" t="s">
        <v>8</v>
      </c>
      <c r="C1704" s="4" t="s">
        <v>28</v>
      </c>
      <c r="D1704" s="4" t="s">
        <v>32</v>
      </c>
      <c r="E1704" s="4">
        <v>1</v>
      </c>
      <c r="F1704" s="4">
        <v>10188</v>
      </c>
      <c r="G1704" s="4">
        <v>10188</v>
      </c>
      <c r="H1704" s="4">
        <v>65549</v>
      </c>
      <c r="I1704" s="4"/>
      <c r="J1704" s="4"/>
      <c r="K1704" s="4"/>
      <c r="L1704" s="6">
        <f t="shared" si="26"/>
        <v>0.155425712062732</v>
      </c>
      <c r="M1704" s="4"/>
    </row>
    <row r="1705" spans="1:13">
      <c r="A1705" s="3">
        <v>45807</v>
      </c>
      <c r="B1705" s="4" t="s">
        <v>8</v>
      </c>
      <c r="C1705" s="4" t="s">
        <v>28</v>
      </c>
      <c r="D1705" s="4" t="s">
        <v>32</v>
      </c>
      <c r="E1705" s="4">
        <v>6</v>
      </c>
      <c r="F1705" s="4">
        <v>20201</v>
      </c>
      <c r="G1705" s="4">
        <v>121206</v>
      </c>
      <c r="H1705" s="4">
        <v>99483</v>
      </c>
      <c r="I1705" s="4"/>
      <c r="J1705" s="4"/>
      <c r="K1705" s="4"/>
      <c r="L1705" s="6">
        <f t="shared" si="26"/>
        <v>1.21835891559362</v>
      </c>
      <c r="M1705" s="4"/>
    </row>
    <row r="1706" spans="1:13">
      <c r="A1706" s="3">
        <v>45681</v>
      </c>
      <c r="B1706" s="4" t="s">
        <v>2</v>
      </c>
      <c r="C1706" s="4" t="s">
        <v>22</v>
      </c>
      <c r="D1706" s="4" t="s">
        <v>31</v>
      </c>
      <c r="E1706" s="4">
        <v>6</v>
      </c>
      <c r="F1706" s="4">
        <v>42671</v>
      </c>
      <c r="G1706" s="4">
        <v>256026</v>
      </c>
      <c r="H1706" s="4">
        <v>32547</v>
      </c>
      <c r="I1706" s="4"/>
      <c r="J1706" s="4"/>
      <c r="K1706" s="4"/>
      <c r="L1706" s="6">
        <f t="shared" si="26"/>
        <v>7.86634712876763</v>
      </c>
      <c r="M1706" s="4"/>
    </row>
    <row r="1707" spans="1:13">
      <c r="A1707" s="3">
        <v>45780</v>
      </c>
      <c r="B1707" s="4" t="s">
        <v>6</v>
      </c>
      <c r="C1707" s="4" t="s">
        <v>24</v>
      </c>
      <c r="D1707" s="4" t="s">
        <v>23</v>
      </c>
      <c r="E1707" s="4">
        <v>4</v>
      </c>
      <c r="F1707" s="4">
        <v>47543</v>
      </c>
      <c r="G1707" s="4">
        <v>190172</v>
      </c>
      <c r="H1707" s="4">
        <v>74920</v>
      </c>
      <c r="I1707" s="4"/>
      <c r="J1707" s="4"/>
      <c r="K1707" s="4"/>
      <c r="L1707" s="6">
        <f t="shared" si="26"/>
        <v>2.53833422317138</v>
      </c>
      <c r="M1707" s="4"/>
    </row>
    <row r="1708" spans="1:13">
      <c r="A1708" s="3">
        <v>45692</v>
      </c>
      <c r="B1708" s="4" t="s">
        <v>3</v>
      </c>
      <c r="C1708" s="4" t="s">
        <v>28</v>
      </c>
      <c r="D1708" s="4" t="s">
        <v>31</v>
      </c>
      <c r="E1708" s="4">
        <v>6</v>
      </c>
      <c r="F1708" s="4">
        <v>41666</v>
      </c>
      <c r="G1708" s="4">
        <v>249996</v>
      </c>
      <c r="H1708" s="4">
        <v>198007</v>
      </c>
      <c r="I1708" s="4"/>
      <c r="J1708" s="4"/>
      <c r="K1708" s="4"/>
      <c r="L1708" s="6">
        <f t="shared" si="26"/>
        <v>1.2625614245961</v>
      </c>
      <c r="M1708" s="4"/>
    </row>
    <row r="1709" spans="1:13">
      <c r="A1709" s="3">
        <v>45817</v>
      </c>
      <c r="B1709" s="4" t="s">
        <v>5</v>
      </c>
      <c r="C1709" s="4" t="s">
        <v>22</v>
      </c>
      <c r="D1709" s="4" t="s">
        <v>25</v>
      </c>
      <c r="E1709" s="4">
        <v>9</v>
      </c>
      <c r="F1709" s="4">
        <v>22327</v>
      </c>
      <c r="G1709" s="4">
        <v>200943</v>
      </c>
      <c r="H1709" s="4">
        <v>13604</v>
      </c>
      <c r="I1709" s="4"/>
      <c r="J1709" s="4"/>
      <c r="K1709" s="4"/>
      <c r="L1709" s="6">
        <f t="shared" si="26"/>
        <v>14.7708762128786</v>
      </c>
      <c r="M1709" s="4"/>
    </row>
    <row r="1710" spans="1:13">
      <c r="A1710" s="3">
        <v>45777</v>
      </c>
      <c r="B1710" s="4" t="s">
        <v>6</v>
      </c>
      <c r="C1710" s="4" t="s">
        <v>28</v>
      </c>
      <c r="D1710" s="4" t="s">
        <v>32</v>
      </c>
      <c r="E1710" s="4">
        <v>4</v>
      </c>
      <c r="F1710" s="4">
        <v>48293</v>
      </c>
      <c r="G1710" s="4">
        <v>193172</v>
      </c>
      <c r="H1710" s="4">
        <v>56007</v>
      </c>
      <c r="I1710" s="4"/>
      <c r="J1710" s="4"/>
      <c r="K1710" s="4"/>
      <c r="L1710" s="6">
        <f t="shared" si="26"/>
        <v>3.4490688663917</v>
      </c>
      <c r="M1710" s="4"/>
    </row>
    <row r="1711" spans="1:13">
      <c r="A1711" s="3">
        <v>45669</v>
      </c>
      <c r="B1711" s="4" t="s">
        <v>3</v>
      </c>
      <c r="C1711" s="4" t="s">
        <v>26</v>
      </c>
      <c r="D1711" s="4" t="s">
        <v>25</v>
      </c>
      <c r="E1711" s="4">
        <v>9</v>
      </c>
      <c r="F1711" s="4">
        <v>1919</v>
      </c>
      <c r="G1711" s="4">
        <v>17271</v>
      </c>
      <c r="H1711" s="4">
        <v>11827</v>
      </c>
      <c r="I1711" s="4"/>
      <c r="J1711" s="4"/>
      <c r="K1711" s="4"/>
      <c r="L1711" s="6">
        <f t="shared" si="26"/>
        <v>1.46030269721823</v>
      </c>
      <c r="M1711" s="4"/>
    </row>
    <row r="1712" spans="1:13">
      <c r="A1712" s="3">
        <v>45711</v>
      </c>
      <c r="B1712" s="4" t="s">
        <v>8</v>
      </c>
      <c r="C1712" s="4" t="s">
        <v>22</v>
      </c>
      <c r="D1712" s="4" t="s">
        <v>32</v>
      </c>
      <c r="E1712" s="4">
        <v>10</v>
      </c>
      <c r="F1712" s="4">
        <v>30818</v>
      </c>
      <c r="G1712" s="4">
        <v>308180</v>
      </c>
      <c r="H1712" s="4">
        <v>133382</v>
      </c>
      <c r="I1712" s="4"/>
      <c r="J1712" s="4"/>
      <c r="K1712" s="4"/>
      <c r="L1712" s="6">
        <f t="shared" si="26"/>
        <v>2.31050666506725</v>
      </c>
      <c r="M1712" s="4"/>
    </row>
    <row r="1713" spans="1:13">
      <c r="A1713" s="3">
        <v>45833</v>
      </c>
      <c r="B1713" s="4" t="s">
        <v>2</v>
      </c>
      <c r="C1713" s="4" t="s">
        <v>28</v>
      </c>
      <c r="D1713" s="4" t="s">
        <v>32</v>
      </c>
      <c r="E1713" s="4">
        <v>1</v>
      </c>
      <c r="F1713" s="4">
        <v>5998</v>
      </c>
      <c r="G1713" s="4">
        <v>5998</v>
      </c>
      <c r="H1713" s="4">
        <v>78110</v>
      </c>
      <c r="I1713" s="4"/>
      <c r="J1713" s="4"/>
      <c r="K1713" s="4"/>
      <c r="L1713" s="6">
        <f t="shared" si="26"/>
        <v>0.076789143515555</v>
      </c>
      <c r="M1713" s="4"/>
    </row>
    <row r="1714" spans="1:13">
      <c r="A1714" s="3">
        <v>45671</v>
      </c>
      <c r="B1714" s="4" t="s">
        <v>7</v>
      </c>
      <c r="C1714" s="4" t="s">
        <v>22</v>
      </c>
      <c r="D1714" s="4" t="s">
        <v>32</v>
      </c>
      <c r="E1714" s="4">
        <v>5</v>
      </c>
      <c r="F1714" s="4">
        <v>27572</v>
      </c>
      <c r="G1714" s="4">
        <v>137860</v>
      </c>
      <c r="H1714" s="4">
        <v>20783</v>
      </c>
      <c r="I1714" s="4"/>
      <c r="J1714" s="4"/>
      <c r="K1714" s="4"/>
      <c r="L1714" s="6">
        <f t="shared" si="26"/>
        <v>6.63330606745898</v>
      </c>
      <c r="M1714" s="4"/>
    </row>
    <row r="1715" spans="1:13">
      <c r="A1715" s="3">
        <v>45804</v>
      </c>
      <c r="B1715" s="4" t="s">
        <v>5</v>
      </c>
      <c r="C1715" s="4" t="s">
        <v>24</v>
      </c>
      <c r="D1715" s="4" t="s">
        <v>29</v>
      </c>
      <c r="E1715" s="4">
        <v>8</v>
      </c>
      <c r="F1715" s="4">
        <v>38192</v>
      </c>
      <c r="G1715" s="4">
        <v>305536</v>
      </c>
      <c r="H1715" s="4">
        <v>178602</v>
      </c>
      <c r="I1715" s="4"/>
      <c r="J1715" s="4"/>
      <c r="K1715" s="4"/>
      <c r="L1715" s="6">
        <f t="shared" si="26"/>
        <v>1.71070872666599</v>
      </c>
      <c r="M1715" s="4"/>
    </row>
    <row r="1716" spans="1:13">
      <c r="A1716" s="3">
        <v>45808</v>
      </c>
      <c r="B1716" s="4" t="s">
        <v>8</v>
      </c>
      <c r="C1716" s="4" t="s">
        <v>28</v>
      </c>
      <c r="D1716" s="4" t="s">
        <v>33</v>
      </c>
      <c r="E1716" s="4">
        <v>9</v>
      </c>
      <c r="F1716" s="4">
        <v>20994</v>
      </c>
      <c r="G1716" s="4">
        <v>188946</v>
      </c>
      <c r="H1716" s="4">
        <v>44216</v>
      </c>
      <c r="I1716" s="4"/>
      <c r="J1716" s="4"/>
      <c r="K1716" s="4"/>
      <c r="L1716" s="6">
        <f t="shared" si="26"/>
        <v>4.27324950244255</v>
      </c>
      <c r="M1716" s="4"/>
    </row>
    <row r="1717" spans="1:13">
      <c r="A1717" s="3">
        <v>45664</v>
      </c>
      <c r="B1717" s="4" t="s">
        <v>5</v>
      </c>
      <c r="C1717" s="4" t="s">
        <v>28</v>
      </c>
      <c r="D1717" s="4" t="s">
        <v>31</v>
      </c>
      <c r="E1717" s="4">
        <v>2</v>
      </c>
      <c r="F1717" s="4">
        <v>2848</v>
      </c>
      <c r="G1717" s="4">
        <v>5696</v>
      </c>
      <c r="H1717" s="4">
        <v>88521</v>
      </c>
      <c r="I1717" s="4"/>
      <c r="J1717" s="4"/>
      <c r="K1717" s="4"/>
      <c r="L1717" s="6">
        <f t="shared" si="26"/>
        <v>0.0643463133041877</v>
      </c>
      <c r="M1717" s="4"/>
    </row>
    <row r="1718" spans="1:13">
      <c r="A1718" s="3">
        <v>45716</v>
      </c>
      <c r="B1718" s="4" t="s">
        <v>6</v>
      </c>
      <c r="C1718" s="4" t="s">
        <v>28</v>
      </c>
      <c r="D1718" s="4" t="s">
        <v>25</v>
      </c>
      <c r="E1718" s="4">
        <v>2</v>
      </c>
      <c r="F1718" s="4">
        <v>6024</v>
      </c>
      <c r="G1718" s="4">
        <v>12048</v>
      </c>
      <c r="H1718" s="4">
        <v>30963</v>
      </c>
      <c r="I1718" s="4"/>
      <c r="J1718" s="4"/>
      <c r="K1718" s="4"/>
      <c r="L1718" s="6">
        <f t="shared" si="26"/>
        <v>0.389109582404806</v>
      </c>
      <c r="M1718" s="4"/>
    </row>
    <row r="1719" spans="1:13">
      <c r="A1719" s="3">
        <v>45821</v>
      </c>
      <c r="B1719" s="4" t="s">
        <v>8</v>
      </c>
      <c r="C1719" s="4" t="s">
        <v>22</v>
      </c>
      <c r="D1719" s="4" t="s">
        <v>25</v>
      </c>
      <c r="E1719" s="4">
        <v>2</v>
      </c>
      <c r="F1719" s="4">
        <v>40903</v>
      </c>
      <c r="G1719" s="4">
        <v>81806</v>
      </c>
      <c r="H1719" s="4">
        <v>69924</v>
      </c>
      <c r="I1719" s="4"/>
      <c r="J1719" s="4"/>
      <c r="K1719" s="4"/>
      <c r="L1719" s="6">
        <f t="shared" si="26"/>
        <v>1.16992734969395</v>
      </c>
      <c r="M1719" s="4"/>
    </row>
    <row r="1720" spans="1:13">
      <c r="A1720" s="3">
        <v>45786</v>
      </c>
      <c r="B1720" s="4" t="s">
        <v>4</v>
      </c>
      <c r="C1720" s="4" t="s">
        <v>28</v>
      </c>
      <c r="D1720" s="4" t="s">
        <v>25</v>
      </c>
      <c r="E1720" s="4">
        <v>8</v>
      </c>
      <c r="F1720" s="4">
        <v>4265</v>
      </c>
      <c r="G1720" s="4">
        <v>34120</v>
      </c>
      <c r="H1720" s="4">
        <v>139738</v>
      </c>
      <c r="I1720" s="4"/>
      <c r="J1720" s="4"/>
      <c r="K1720" s="4"/>
      <c r="L1720" s="6">
        <f t="shared" si="26"/>
        <v>0.244171234739298</v>
      </c>
      <c r="M1720" s="4"/>
    </row>
    <row r="1721" spans="1:13">
      <c r="A1721" s="3">
        <v>45758</v>
      </c>
      <c r="B1721" s="4" t="s">
        <v>6</v>
      </c>
      <c r="C1721" s="4" t="s">
        <v>26</v>
      </c>
      <c r="D1721" s="4" t="s">
        <v>32</v>
      </c>
      <c r="E1721" s="4">
        <v>7</v>
      </c>
      <c r="F1721" s="4">
        <v>39176</v>
      </c>
      <c r="G1721" s="4">
        <v>274232</v>
      </c>
      <c r="H1721" s="4">
        <v>188230</v>
      </c>
      <c r="I1721" s="4"/>
      <c r="J1721" s="4"/>
      <c r="K1721" s="4"/>
      <c r="L1721" s="6">
        <f t="shared" si="26"/>
        <v>1.45689847526962</v>
      </c>
      <c r="M1721" s="4"/>
    </row>
    <row r="1722" spans="1:13">
      <c r="A1722" s="3">
        <v>45700</v>
      </c>
      <c r="B1722" s="4" t="s">
        <v>5</v>
      </c>
      <c r="C1722" s="4" t="s">
        <v>22</v>
      </c>
      <c r="D1722" s="4" t="s">
        <v>23</v>
      </c>
      <c r="E1722" s="4">
        <v>2</v>
      </c>
      <c r="F1722" s="4">
        <v>27642</v>
      </c>
      <c r="G1722" s="4">
        <v>55284</v>
      </c>
      <c r="H1722" s="4">
        <v>43314</v>
      </c>
      <c r="I1722" s="4"/>
      <c r="J1722" s="4"/>
      <c r="K1722" s="4"/>
      <c r="L1722" s="6">
        <f t="shared" si="26"/>
        <v>1.27635406566006</v>
      </c>
      <c r="M1722" s="4"/>
    </row>
    <row r="1723" spans="1:13">
      <c r="A1723" s="3">
        <v>45703</v>
      </c>
      <c r="B1723" s="4" t="s">
        <v>5</v>
      </c>
      <c r="C1723" s="4" t="s">
        <v>28</v>
      </c>
      <c r="D1723" s="4" t="s">
        <v>29</v>
      </c>
      <c r="E1723" s="4">
        <v>8</v>
      </c>
      <c r="F1723" s="4">
        <v>38932</v>
      </c>
      <c r="G1723" s="4">
        <v>311456</v>
      </c>
      <c r="H1723" s="4">
        <v>31965</v>
      </c>
      <c r="I1723" s="4"/>
      <c r="J1723" s="4"/>
      <c r="K1723" s="4"/>
      <c r="L1723" s="6">
        <f t="shared" si="26"/>
        <v>9.74365712498045</v>
      </c>
      <c r="M1723" s="4"/>
    </row>
    <row r="1724" spans="1:13">
      <c r="A1724" s="3">
        <v>45676</v>
      </c>
      <c r="B1724" s="4" t="s">
        <v>8</v>
      </c>
      <c r="C1724" s="4" t="s">
        <v>28</v>
      </c>
      <c r="D1724" s="4" t="s">
        <v>23</v>
      </c>
      <c r="E1724" s="4">
        <v>1</v>
      </c>
      <c r="F1724" s="4">
        <v>23669</v>
      </c>
      <c r="G1724" s="4">
        <v>23669</v>
      </c>
      <c r="H1724" s="4">
        <v>163037</v>
      </c>
      <c r="I1724" s="4"/>
      <c r="J1724" s="4"/>
      <c r="K1724" s="4"/>
      <c r="L1724" s="6">
        <f t="shared" si="26"/>
        <v>0.145175634978563</v>
      </c>
      <c r="M1724" s="4"/>
    </row>
    <row r="1725" spans="1:13">
      <c r="A1725" s="3">
        <v>45805</v>
      </c>
      <c r="B1725" s="4" t="s">
        <v>8</v>
      </c>
      <c r="C1725" s="4" t="s">
        <v>24</v>
      </c>
      <c r="D1725" s="4" t="s">
        <v>23</v>
      </c>
      <c r="E1725" s="4">
        <v>6</v>
      </c>
      <c r="F1725" s="4">
        <v>40625</v>
      </c>
      <c r="G1725" s="4">
        <v>243750</v>
      </c>
      <c r="H1725" s="4">
        <v>159599</v>
      </c>
      <c r="I1725" s="4"/>
      <c r="J1725" s="4"/>
      <c r="K1725" s="4"/>
      <c r="L1725" s="6">
        <f t="shared" si="26"/>
        <v>1.52726520842862</v>
      </c>
      <c r="M1725" s="4"/>
    </row>
    <row r="1726" spans="1:13">
      <c r="A1726" s="3">
        <v>45658</v>
      </c>
      <c r="B1726" s="4" t="s">
        <v>8</v>
      </c>
      <c r="C1726" s="4" t="s">
        <v>28</v>
      </c>
      <c r="D1726" s="4" t="s">
        <v>31</v>
      </c>
      <c r="E1726" s="4">
        <v>9</v>
      </c>
      <c r="F1726" s="4">
        <v>24206</v>
      </c>
      <c r="G1726" s="4">
        <v>217854</v>
      </c>
      <c r="H1726" s="4">
        <v>160190</v>
      </c>
      <c r="I1726" s="4"/>
      <c r="J1726" s="4"/>
      <c r="K1726" s="4"/>
      <c r="L1726" s="6">
        <f t="shared" si="26"/>
        <v>1.35997253261752</v>
      </c>
      <c r="M1726" s="4"/>
    </row>
    <row r="1727" spans="1:13">
      <c r="A1727" s="3">
        <v>45836</v>
      </c>
      <c r="B1727" s="4" t="s">
        <v>6</v>
      </c>
      <c r="C1727" s="4" t="s">
        <v>22</v>
      </c>
      <c r="D1727" s="4" t="s">
        <v>31</v>
      </c>
      <c r="E1727" s="4">
        <v>10</v>
      </c>
      <c r="F1727" s="4">
        <v>3987</v>
      </c>
      <c r="G1727" s="4">
        <v>39870</v>
      </c>
      <c r="H1727" s="4">
        <v>132039</v>
      </c>
      <c r="I1727" s="4"/>
      <c r="J1727" s="4"/>
      <c r="K1727" s="4"/>
      <c r="L1727" s="6">
        <f t="shared" si="26"/>
        <v>0.301956240201759</v>
      </c>
      <c r="M1727" s="4"/>
    </row>
    <row r="1728" spans="1:13">
      <c r="A1728" s="3">
        <v>45811</v>
      </c>
      <c r="B1728" s="4" t="s">
        <v>6</v>
      </c>
      <c r="C1728" s="4" t="s">
        <v>26</v>
      </c>
      <c r="D1728" s="4" t="s">
        <v>29</v>
      </c>
      <c r="E1728" s="4">
        <v>6</v>
      </c>
      <c r="F1728" s="4">
        <v>19064</v>
      </c>
      <c r="G1728" s="4">
        <v>114384</v>
      </c>
      <c r="H1728" s="4">
        <v>122251</v>
      </c>
      <c r="I1728" s="4"/>
      <c r="J1728" s="4"/>
      <c r="K1728" s="4"/>
      <c r="L1728" s="6">
        <f t="shared" si="26"/>
        <v>0.935648788148972</v>
      </c>
      <c r="M1728" s="4"/>
    </row>
    <row r="1729" spans="1:13">
      <c r="A1729" s="3">
        <v>45691</v>
      </c>
      <c r="B1729" s="4" t="s">
        <v>2</v>
      </c>
      <c r="C1729" s="4" t="s">
        <v>26</v>
      </c>
      <c r="D1729" s="4" t="s">
        <v>25</v>
      </c>
      <c r="E1729" s="4">
        <v>1</v>
      </c>
      <c r="F1729" s="4">
        <v>49419</v>
      </c>
      <c r="G1729" s="4">
        <v>49419</v>
      </c>
      <c r="H1729" s="4">
        <v>115231</v>
      </c>
      <c r="I1729" s="4"/>
      <c r="J1729" s="4"/>
      <c r="K1729" s="4"/>
      <c r="L1729" s="6">
        <f t="shared" si="26"/>
        <v>0.428868967552134</v>
      </c>
      <c r="M1729" s="4"/>
    </row>
    <row r="1730" spans="1:13">
      <c r="A1730" s="3">
        <v>45738</v>
      </c>
      <c r="B1730" s="4" t="s">
        <v>6</v>
      </c>
      <c r="C1730" s="4" t="s">
        <v>28</v>
      </c>
      <c r="D1730" s="4" t="s">
        <v>30</v>
      </c>
      <c r="E1730" s="4">
        <v>5</v>
      </c>
      <c r="F1730" s="4">
        <v>2258</v>
      </c>
      <c r="G1730" s="4">
        <v>11290</v>
      </c>
      <c r="H1730" s="4">
        <v>164258</v>
      </c>
      <c r="I1730" s="4"/>
      <c r="J1730" s="4"/>
      <c r="K1730" s="4"/>
      <c r="L1730" s="6">
        <f t="shared" si="26"/>
        <v>0.0687333341450645</v>
      </c>
      <c r="M1730" s="4"/>
    </row>
    <row r="1731" spans="1:13">
      <c r="A1731" s="3">
        <v>45718</v>
      </c>
      <c r="B1731" s="4" t="s">
        <v>7</v>
      </c>
      <c r="C1731" s="4" t="s">
        <v>28</v>
      </c>
      <c r="D1731" s="4" t="s">
        <v>27</v>
      </c>
      <c r="E1731" s="4">
        <v>4</v>
      </c>
      <c r="F1731" s="4">
        <v>14686</v>
      </c>
      <c r="G1731" s="4">
        <v>58744</v>
      </c>
      <c r="H1731" s="4">
        <v>86171</v>
      </c>
      <c r="I1731" s="4"/>
      <c r="J1731" s="4"/>
      <c r="K1731" s="4"/>
      <c r="L1731" s="6">
        <f t="shared" ref="L1731:L1794" si="27">G1731/H1731</f>
        <v>0.681714265820288</v>
      </c>
      <c r="M1731" s="4"/>
    </row>
    <row r="1732" spans="1:13">
      <c r="A1732" s="3">
        <v>45692</v>
      </c>
      <c r="B1732" s="4" t="s">
        <v>4</v>
      </c>
      <c r="C1732" s="4" t="s">
        <v>22</v>
      </c>
      <c r="D1732" s="4" t="s">
        <v>31</v>
      </c>
      <c r="E1732" s="4">
        <v>7</v>
      </c>
      <c r="F1732" s="4">
        <v>46608</v>
      </c>
      <c r="G1732" s="4">
        <v>326256</v>
      </c>
      <c r="H1732" s="4">
        <v>185158</v>
      </c>
      <c r="I1732" s="4"/>
      <c r="J1732" s="4"/>
      <c r="K1732" s="4"/>
      <c r="L1732" s="6">
        <f t="shared" si="27"/>
        <v>1.76204106762873</v>
      </c>
      <c r="M1732" s="4"/>
    </row>
    <row r="1733" spans="1:13">
      <c r="A1733" s="3">
        <v>45677</v>
      </c>
      <c r="B1733" s="4" t="s">
        <v>3</v>
      </c>
      <c r="C1733" s="4" t="s">
        <v>28</v>
      </c>
      <c r="D1733" s="4" t="s">
        <v>31</v>
      </c>
      <c r="E1733" s="4">
        <v>4</v>
      </c>
      <c r="F1733" s="4">
        <v>34599</v>
      </c>
      <c r="G1733" s="4">
        <v>138396</v>
      </c>
      <c r="H1733" s="4">
        <v>51185</v>
      </c>
      <c r="I1733" s="4"/>
      <c r="J1733" s="4"/>
      <c r="K1733" s="4"/>
      <c r="L1733" s="6">
        <f t="shared" si="27"/>
        <v>2.70383901533652</v>
      </c>
      <c r="M1733" s="4"/>
    </row>
    <row r="1734" spans="1:13">
      <c r="A1734" s="3">
        <v>45747</v>
      </c>
      <c r="B1734" s="4" t="s">
        <v>7</v>
      </c>
      <c r="C1734" s="4" t="s">
        <v>22</v>
      </c>
      <c r="D1734" s="4" t="s">
        <v>33</v>
      </c>
      <c r="E1734" s="4">
        <v>6</v>
      </c>
      <c r="F1734" s="4">
        <v>32666</v>
      </c>
      <c r="G1734" s="4">
        <v>195996</v>
      </c>
      <c r="H1734" s="4">
        <v>104336</v>
      </c>
      <c r="I1734" s="4"/>
      <c r="J1734" s="4"/>
      <c r="K1734" s="4"/>
      <c r="L1734" s="6">
        <f t="shared" si="27"/>
        <v>1.87850789756172</v>
      </c>
      <c r="M1734" s="4"/>
    </row>
    <row r="1735" spans="1:13">
      <c r="A1735" s="3">
        <v>45800</v>
      </c>
      <c r="B1735" s="4" t="s">
        <v>6</v>
      </c>
      <c r="C1735" s="4" t="s">
        <v>22</v>
      </c>
      <c r="D1735" s="4" t="s">
        <v>29</v>
      </c>
      <c r="E1735" s="4">
        <v>1</v>
      </c>
      <c r="F1735" s="4">
        <v>25461</v>
      </c>
      <c r="G1735" s="4">
        <v>25461</v>
      </c>
      <c r="H1735" s="4">
        <v>183299</v>
      </c>
      <c r="I1735" s="4"/>
      <c r="J1735" s="4"/>
      <c r="K1735" s="4"/>
      <c r="L1735" s="6">
        <f t="shared" si="27"/>
        <v>0.138904194785569</v>
      </c>
      <c r="M1735" s="4"/>
    </row>
    <row r="1736" spans="1:13">
      <c r="A1736" s="3">
        <v>45720</v>
      </c>
      <c r="B1736" s="4" t="s">
        <v>7</v>
      </c>
      <c r="C1736" s="4" t="s">
        <v>28</v>
      </c>
      <c r="D1736" s="4" t="s">
        <v>30</v>
      </c>
      <c r="E1736" s="4">
        <v>6</v>
      </c>
      <c r="F1736" s="4">
        <v>29715</v>
      </c>
      <c r="G1736" s="4">
        <v>178290</v>
      </c>
      <c r="H1736" s="4">
        <v>15618</v>
      </c>
      <c r="I1736" s="4"/>
      <c r="J1736" s="4"/>
      <c r="K1736" s="4"/>
      <c r="L1736" s="6">
        <f t="shared" si="27"/>
        <v>11.4156742220515</v>
      </c>
      <c r="M1736" s="4"/>
    </row>
    <row r="1737" spans="1:13">
      <c r="A1737" s="3">
        <v>45735</v>
      </c>
      <c r="B1737" s="4" t="s">
        <v>8</v>
      </c>
      <c r="C1737" s="4" t="s">
        <v>26</v>
      </c>
      <c r="D1737" s="4" t="s">
        <v>25</v>
      </c>
      <c r="E1737" s="4">
        <v>3</v>
      </c>
      <c r="F1737" s="4">
        <v>30207</v>
      </c>
      <c r="G1737" s="4">
        <v>90621</v>
      </c>
      <c r="H1737" s="4">
        <v>65725</v>
      </c>
      <c r="I1737" s="4"/>
      <c r="J1737" s="4"/>
      <c r="K1737" s="4"/>
      <c r="L1737" s="6">
        <f t="shared" si="27"/>
        <v>1.37879041460631</v>
      </c>
      <c r="M1737" s="4"/>
    </row>
    <row r="1738" spans="1:13">
      <c r="A1738" s="3">
        <v>45747</v>
      </c>
      <c r="B1738" s="4" t="s">
        <v>8</v>
      </c>
      <c r="C1738" s="4" t="s">
        <v>26</v>
      </c>
      <c r="D1738" s="4" t="s">
        <v>25</v>
      </c>
      <c r="E1738" s="4">
        <v>3</v>
      </c>
      <c r="F1738" s="4">
        <v>46481</v>
      </c>
      <c r="G1738" s="4">
        <v>139443</v>
      </c>
      <c r="H1738" s="4">
        <v>25770</v>
      </c>
      <c r="I1738" s="4"/>
      <c r="J1738" s="4"/>
      <c r="K1738" s="4"/>
      <c r="L1738" s="6">
        <f t="shared" si="27"/>
        <v>5.41105937136205</v>
      </c>
      <c r="M1738" s="4"/>
    </row>
    <row r="1739" spans="1:13">
      <c r="A1739" s="3">
        <v>45658</v>
      </c>
      <c r="B1739" s="4" t="s">
        <v>6</v>
      </c>
      <c r="C1739" s="4" t="s">
        <v>22</v>
      </c>
      <c r="D1739" s="4" t="s">
        <v>31</v>
      </c>
      <c r="E1739" s="4">
        <v>7</v>
      </c>
      <c r="F1739" s="4">
        <v>38781</v>
      </c>
      <c r="G1739" s="4">
        <v>271467</v>
      </c>
      <c r="H1739" s="4">
        <v>6640</v>
      </c>
      <c r="I1739" s="4"/>
      <c r="J1739" s="4"/>
      <c r="K1739" s="4"/>
      <c r="L1739" s="6">
        <f t="shared" si="27"/>
        <v>40.8835843373494</v>
      </c>
      <c r="M1739" s="4"/>
    </row>
    <row r="1740" spans="1:13">
      <c r="A1740" s="3">
        <v>45786</v>
      </c>
      <c r="B1740" s="4" t="s">
        <v>6</v>
      </c>
      <c r="C1740" s="4" t="s">
        <v>28</v>
      </c>
      <c r="D1740" s="4" t="s">
        <v>29</v>
      </c>
      <c r="E1740" s="4">
        <v>6</v>
      </c>
      <c r="F1740" s="4">
        <v>24408</v>
      </c>
      <c r="G1740" s="4">
        <v>146448</v>
      </c>
      <c r="H1740" s="4">
        <v>183072</v>
      </c>
      <c r="I1740" s="4"/>
      <c r="J1740" s="4"/>
      <c r="K1740" s="4"/>
      <c r="L1740" s="6">
        <f t="shared" si="27"/>
        <v>0.799947561615102</v>
      </c>
      <c r="M1740" s="4"/>
    </row>
    <row r="1741" spans="1:13">
      <c r="A1741" s="3">
        <v>45831</v>
      </c>
      <c r="B1741" s="4" t="s">
        <v>8</v>
      </c>
      <c r="C1741" s="4" t="s">
        <v>26</v>
      </c>
      <c r="D1741" s="4" t="s">
        <v>32</v>
      </c>
      <c r="E1741" s="4">
        <v>6</v>
      </c>
      <c r="F1741" s="4">
        <v>18420</v>
      </c>
      <c r="G1741" s="4">
        <v>110520</v>
      </c>
      <c r="H1741" s="4">
        <v>46842</v>
      </c>
      <c r="I1741" s="4"/>
      <c r="J1741" s="4"/>
      <c r="K1741" s="4"/>
      <c r="L1741" s="6">
        <f t="shared" si="27"/>
        <v>2.35942103240681</v>
      </c>
      <c r="M1741" s="4"/>
    </row>
    <row r="1742" spans="1:13">
      <c r="A1742" s="3">
        <v>45668</v>
      </c>
      <c r="B1742" s="4" t="s">
        <v>6</v>
      </c>
      <c r="C1742" s="4" t="s">
        <v>22</v>
      </c>
      <c r="D1742" s="4" t="s">
        <v>23</v>
      </c>
      <c r="E1742" s="4">
        <v>3</v>
      </c>
      <c r="F1742" s="4">
        <v>48234</v>
      </c>
      <c r="G1742" s="4">
        <v>144702</v>
      </c>
      <c r="H1742" s="4">
        <v>157263</v>
      </c>
      <c r="I1742" s="4"/>
      <c r="J1742" s="4"/>
      <c r="K1742" s="4"/>
      <c r="L1742" s="6">
        <f t="shared" si="27"/>
        <v>0.920127429846817</v>
      </c>
      <c r="M1742" s="4"/>
    </row>
    <row r="1743" spans="1:13">
      <c r="A1743" s="3">
        <v>45816</v>
      </c>
      <c r="B1743" s="4" t="s">
        <v>4</v>
      </c>
      <c r="C1743" s="4" t="s">
        <v>22</v>
      </c>
      <c r="D1743" s="4" t="s">
        <v>32</v>
      </c>
      <c r="E1743" s="4">
        <v>6</v>
      </c>
      <c r="F1743" s="4">
        <v>42781</v>
      </c>
      <c r="G1743" s="4">
        <v>256686</v>
      </c>
      <c r="H1743" s="4">
        <v>47768</v>
      </c>
      <c r="I1743" s="4"/>
      <c r="J1743" s="4"/>
      <c r="K1743" s="4"/>
      <c r="L1743" s="6">
        <f t="shared" si="27"/>
        <v>5.3735973873723</v>
      </c>
      <c r="M1743" s="4"/>
    </row>
    <row r="1744" spans="1:13">
      <c r="A1744" s="3">
        <v>45805</v>
      </c>
      <c r="B1744" s="4" t="s">
        <v>3</v>
      </c>
      <c r="C1744" s="4" t="s">
        <v>22</v>
      </c>
      <c r="D1744" s="4" t="s">
        <v>29</v>
      </c>
      <c r="E1744" s="4">
        <v>1</v>
      </c>
      <c r="F1744" s="4">
        <v>10576</v>
      </c>
      <c r="G1744" s="4">
        <v>10576</v>
      </c>
      <c r="H1744" s="4">
        <v>130774</v>
      </c>
      <c r="I1744" s="4"/>
      <c r="J1744" s="4"/>
      <c r="K1744" s="4"/>
      <c r="L1744" s="6">
        <f t="shared" si="27"/>
        <v>0.0808723446556655</v>
      </c>
      <c r="M1744" s="4"/>
    </row>
    <row r="1745" spans="1:13">
      <c r="A1745" s="3">
        <v>45715</v>
      </c>
      <c r="B1745" s="4" t="s">
        <v>4</v>
      </c>
      <c r="C1745" s="4" t="s">
        <v>28</v>
      </c>
      <c r="D1745" s="4" t="s">
        <v>32</v>
      </c>
      <c r="E1745" s="4">
        <v>9</v>
      </c>
      <c r="F1745" s="4">
        <v>39879</v>
      </c>
      <c r="G1745" s="4">
        <v>358911</v>
      </c>
      <c r="H1745" s="4">
        <v>180909</v>
      </c>
      <c r="I1745" s="4"/>
      <c r="J1745" s="4"/>
      <c r="K1745" s="4"/>
      <c r="L1745" s="6">
        <f t="shared" si="27"/>
        <v>1.98393114770409</v>
      </c>
      <c r="M1745" s="4"/>
    </row>
    <row r="1746" spans="1:13">
      <c r="A1746" s="3">
        <v>45830</v>
      </c>
      <c r="B1746" s="4" t="s">
        <v>5</v>
      </c>
      <c r="C1746" s="4" t="s">
        <v>22</v>
      </c>
      <c r="D1746" s="4" t="s">
        <v>23</v>
      </c>
      <c r="E1746" s="4">
        <v>7</v>
      </c>
      <c r="F1746" s="4">
        <v>27824</v>
      </c>
      <c r="G1746" s="4">
        <v>194768</v>
      </c>
      <c r="H1746" s="4">
        <v>98234</v>
      </c>
      <c r="I1746" s="4"/>
      <c r="J1746" s="4"/>
      <c r="K1746" s="4"/>
      <c r="L1746" s="6">
        <f t="shared" si="27"/>
        <v>1.98269438280025</v>
      </c>
      <c r="M1746" s="4"/>
    </row>
    <row r="1747" spans="1:13">
      <c r="A1747" s="3">
        <v>45786</v>
      </c>
      <c r="B1747" s="4" t="s">
        <v>4</v>
      </c>
      <c r="C1747" s="4" t="s">
        <v>28</v>
      </c>
      <c r="D1747" s="4" t="s">
        <v>33</v>
      </c>
      <c r="E1747" s="4">
        <v>1</v>
      </c>
      <c r="F1747" s="4">
        <v>23930</v>
      </c>
      <c r="G1747" s="4">
        <v>23930</v>
      </c>
      <c r="H1747" s="4">
        <v>26144</v>
      </c>
      <c r="I1747" s="4"/>
      <c r="J1747" s="4"/>
      <c r="K1747" s="4"/>
      <c r="L1747" s="6">
        <f t="shared" si="27"/>
        <v>0.91531517747858</v>
      </c>
      <c r="M1747" s="4"/>
    </row>
    <row r="1748" spans="1:13">
      <c r="A1748" s="3">
        <v>45763</v>
      </c>
      <c r="B1748" s="4" t="s">
        <v>7</v>
      </c>
      <c r="C1748" s="4" t="s">
        <v>22</v>
      </c>
      <c r="D1748" s="4" t="s">
        <v>30</v>
      </c>
      <c r="E1748" s="4">
        <v>7</v>
      </c>
      <c r="F1748" s="4">
        <v>19935</v>
      </c>
      <c r="G1748" s="4">
        <v>139545</v>
      </c>
      <c r="H1748" s="4">
        <v>117878</v>
      </c>
      <c r="I1748" s="4"/>
      <c r="J1748" s="4"/>
      <c r="K1748" s="4"/>
      <c r="L1748" s="6">
        <f t="shared" si="27"/>
        <v>1.18380868355418</v>
      </c>
      <c r="M1748" s="4"/>
    </row>
    <row r="1749" spans="1:13">
      <c r="A1749" s="3">
        <v>45758</v>
      </c>
      <c r="B1749" s="4" t="s">
        <v>4</v>
      </c>
      <c r="C1749" s="4" t="s">
        <v>24</v>
      </c>
      <c r="D1749" s="4" t="s">
        <v>23</v>
      </c>
      <c r="E1749" s="4">
        <v>7</v>
      </c>
      <c r="F1749" s="4">
        <v>23461</v>
      </c>
      <c r="G1749" s="4">
        <v>164227</v>
      </c>
      <c r="H1749" s="4">
        <v>20429</v>
      </c>
      <c r="I1749" s="4"/>
      <c r="J1749" s="4"/>
      <c r="K1749" s="4"/>
      <c r="L1749" s="6">
        <f t="shared" si="27"/>
        <v>8.03891526751187</v>
      </c>
      <c r="M1749" s="4"/>
    </row>
    <row r="1750" spans="1:13">
      <c r="A1750" s="3">
        <v>45786</v>
      </c>
      <c r="B1750" s="4" t="s">
        <v>5</v>
      </c>
      <c r="C1750" s="4" t="s">
        <v>24</v>
      </c>
      <c r="D1750" s="4" t="s">
        <v>25</v>
      </c>
      <c r="E1750" s="4">
        <v>2</v>
      </c>
      <c r="F1750" s="4">
        <v>1700</v>
      </c>
      <c r="G1750" s="4">
        <v>3400</v>
      </c>
      <c r="H1750" s="4">
        <v>44279</v>
      </c>
      <c r="I1750" s="4"/>
      <c r="J1750" s="4"/>
      <c r="K1750" s="4"/>
      <c r="L1750" s="6">
        <f t="shared" si="27"/>
        <v>0.0767858352717993</v>
      </c>
      <c r="M1750" s="4"/>
    </row>
    <row r="1751" spans="1:13">
      <c r="A1751" s="3">
        <v>45828</v>
      </c>
      <c r="B1751" s="4" t="s">
        <v>2</v>
      </c>
      <c r="C1751" s="4" t="s">
        <v>28</v>
      </c>
      <c r="D1751" s="4" t="s">
        <v>27</v>
      </c>
      <c r="E1751" s="4">
        <v>10</v>
      </c>
      <c r="F1751" s="4">
        <v>7291</v>
      </c>
      <c r="G1751" s="4">
        <v>72910</v>
      </c>
      <c r="H1751" s="4">
        <v>82767</v>
      </c>
      <c r="I1751" s="4"/>
      <c r="J1751" s="4"/>
      <c r="K1751" s="4"/>
      <c r="L1751" s="6">
        <f t="shared" si="27"/>
        <v>0.880906641535878</v>
      </c>
      <c r="M1751" s="4"/>
    </row>
    <row r="1752" spans="1:13">
      <c r="A1752" s="3">
        <v>45674</v>
      </c>
      <c r="B1752" s="4" t="s">
        <v>7</v>
      </c>
      <c r="C1752" s="4" t="s">
        <v>26</v>
      </c>
      <c r="D1752" s="4" t="s">
        <v>32</v>
      </c>
      <c r="E1752" s="4">
        <v>9</v>
      </c>
      <c r="F1752" s="4">
        <v>39633</v>
      </c>
      <c r="G1752" s="4">
        <v>356697</v>
      </c>
      <c r="H1752" s="4">
        <v>18021</v>
      </c>
      <c r="I1752" s="4"/>
      <c r="J1752" s="4"/>
      <c r="K1752" s="4"/>
      <c r="L1752" s="6">
        <f t="shared" si="27"/>
        <v>19.7934076910271</v>
      </c>
      <c r="M1752" s="4"/>
    </row>
    <row r="1753" spans="1:13">
      <c r="A1753" s="3">
        <v>45687</v>
      </c>
      <c r="B1753" s="4" t="s">
        <v>7</v>
      </c>
      <c r="C1753" s="4" t="s">
        <v>26</v>
      </c>
      <c r="D1753" s="4" t="s">
        <v>33</v>
      </c>
      <c r="E1753" s="4">
        <v>8</v>
      </c>
      <c r="F1753" s="4">
        <v>2184</v>
      </c>
      <c r="G1753" s="4">
        <v>17472</v>
      </c>
      <c r="H1753" s="4">
        <v>52645</v>
      </c>
      <c r="I1753" s="4"/>
      <c r="J1753" s="4"/>
      <c r="K1753" s="4"/>
      <c r="L1753" s="6">
        <f t="shared" si="27"/>
        <v>0.331883369740716</v>
      </c>
      <c r="M1753" s="4"/>
    </row>
    <row r="1754" spans="1:13">
      <c r="A1754" s="3">
        <v>45753</v>
      </c>
      <c r="B1754" s="4" t="s">
        <v>7</v>
      </c>
      <c r="C1754" s="4" t="s">
        <v>28</v>
      </c>
      <c r="D1754" s="4" t="s">
        <v>29</v>
      </c>
      <c r="E1754" s="4">
        <v>2</v>
      </c>
      <c r="F1754" s="4">
        <v>34845</v>
      </c>
      <c r="G1754" s="4">
        <v>69690</v>
      </c>
      <c r="H1754" s="4">
        <v>167957</v>
      </c>
      <c r="I1754" s="4"/>
      <c r="J1754" s="4"/>
      <c r="K1754" s="4"/>
      <c r="L1754" s="6">
        <f t="shared" si="27"/>
        <v>0.414927630286323</v>
      </c>
      <c r="M1754" s="4"/>
    </row>
    <row r="1755" spans="1:13">
      <c r="A1755" s="3">
        <v>45779</v>
      </c>
      <c r="B1755" s="4" t="s">
        <v>2</v>
      </c>
      <c r="C1755" s="4" t="s">
        <v>28</v>
      </c>
      <c r="D1755" s="4" t="s">
        <v>27</v>
      </c>
      <c r="E1755" s="4">
        <v>3</v>
      </c>
      <c r="F1755" s="4">
        <v>2016</v>
      </c>
      <c r="G1755" s="4">
        <v>6048</v>
      </c>
      <c r="H1755" s="4">
        <v>59775</v>
      </c>
      <c r="I1755" s="4"/>
      <c r="J1755" s="4"/>
      <c r="K1755" s="4"/>
      <c r="L1755" s="6">
        <f t="shared" si="27"/>
        <v>0.101179422835634</v>
      </c>
      <c r="M1755" s="4"/>
    </row>
    <row r="1756" spans="1:13">
      <c r="A1756" s="3">
        <v>45784</v>
      </c>
      <c r="B1756" s="4" t="s">
        <v>7</v>
      </c>
      <c r="C1756" s="4" t="s">
        <v>28</v>
      </c>
      <c r="D1756" s="4" t="s">
        <v>30</v>
      </c>
      <c r="E1756" s="4">
        <v>10</v>
      </c>
      <c r="F1756" s="4">
        <v>15703</v>
      </c>
      <c r="G1756" s="4">
        <v>157030</v>
      </c>
      <c r="H1756" s="4">
        <v>159990</v>
      </c>
      <c r="I1756" s="4"/>
      <c r="J1756" s="4"/>
      <c r="K1756" s="4"/>
      <c r="L1756" s="6">
        <f t="shared" si="27"/>
        <v>0.98149884367773</v>
      </c>
      <c r="M1756" s="4"/>
    </row>
    <row r="1757" spans="1:13">
      <c r="A1757" s="3">
        <v>45764</v>
      </c>
      <c r="B1757" s="4" t="s">
        <v>2</v>
      </c>
      <c r="C1757" s="4" t="s">
        <v>28</v>
      </c>
      <c r="D1757" s="4" t="s">
        <v>31</v>
      </c>
      <c r="E1757" s="4">
        <v>10</v>
      </c>
      <c r="F1757" s="4">
        <v>19119</v>
      </c>
      <c r="G1757" s="4">
        <v>191190</v>
      </c>
      <c r="H1757" s="4">
        <v>30682</v>
      </c>
      <c r="I1757" s="4"/>
      <c r="J1757" s="4"/>
      <c r="K1757" s="4"/>
      <c r="L1757" s="6">
        <f t="shared" si="27"/>
        <v>6.23134085131347</v>
      </c>
      <c r="M1757" s="4"/>
    </row>
    <row r="1758" spans="1:13">
      <c r="A1758" s="3">
        <v>45774</v>
      </c>
      <c r="B1758" s="4" t="s">
        <v>3</v>
      </c>
      <c r="C1758" s="4" t="s">
        <v>24</v>
      </c>
      <c r="D1758" s="4" t="s">
        <v>29</v>
      </c>
      <c r="E1758" s="4">
        <v>2</v>
      </c>
      <c r="F1758" s="4">
        <v>32854</v>
      </c>
      <c r="G1758" s="4">
        <v>65708</v>
      </c>
      <c r="H1758" s="4">
        <v>63792</v>
      </c>
      <c r="I1758" s="4"/>
      <c r="J1758" s="4"/>
      <c r="K1758" s="4"/>
      <c r="L1758" s="6">
        <f t="shared" si="27"/>
        <v>1.03003511412089</v>
      </c>
      <c r="M1758" s="4"/>
    </row>
    <row r="1759" spans="1:13">
      <c r="A1759" s="3">
        <v>45831</v>
      </c>
      <c r="B1759" s="4" t="s">
        <v>2</v>
      </c>
      <c r="C1759" s="4" t="s">
        <v>28</v>
      </c>
      <c r="D1759" s="4" t="s">
        <v>29</v>
      </c>
      <c r="E1759" s="4">
        <v>4</v>
      </c>
      <c r="F1759" s="4">
        <v>3136</v>
      </c>
      <c r="G1759" s="4">
        <v>12544</v>
      </c>
      <c r="H1759" s="4">
        <v>51726</v>
      </c>
      <c r="I1759" s="4"/>
      <c r="J1759" s="4"/>
      <c r="K1759" s="4"/>
      <c r="L1759" s="6">
        <f t="shared" si="27"/>
        <v>0.242508603023624</v>
      </c>
      <c r="M1759" s="4"/>
    </row>
    <row r="1760" spans="1:13">
      <c r="A1760" s="3">
        <v>45691</v>
      </c>
      <c r="B1760" s="4" t="s">
        <v>3</v>
      </c>
      <c r="C1760" s="4" t="s">
        <v>24</v>
      </c>
      <c r="D1760" s="4" t="s">
        <v>27</v>
      </c>
      <c r="E1760" s="4">
        <v>10</v>
      </c>
      <c r="F1760" s="4">
        <v>11381</v>
      </c>
      <c r="G1760" s="4">
        <v>113810</v>
      </c>
      <c r="H1760" s="4">
        <v>110226</v>
      </c>
      <c r="I1760" s="4"/>
      <c r="J1760" s="4"/>
      <c r="K1760" s="4"/>
      <c r="L1760" s="6">
        <f t="shared" si="27"/>
        <v>1.03251501460635</v>
      </c>
      <c r="M1760" s="4"/>
    </row>
    <row r="1761" spans="1:13">
      <c r="A1761" s="3">
        <v>45826</v>
      </c>
      <c r="B1761" s="4" t="s">
        <v>2</v>
      </c>
      <c r="C1761" s="4" t="s">
        <v>26</v>
      </c>
      <c r="D1761" s="4" t="s">
        <v>32</v>
      </c>
      <c r="E1761" s="4">
        <v>6</v>
      </c>
      <c r="F1761" s="4">
        <v>7640</v>
      </c>
      <c r="G1761" s="4">
        <v>45840</v>
      </c>
      <c r="H1761" s="4">
        <v>175751</v>
      </c>
      <c r="I1761" s="4"/>
      <c r="J1761" s="4"/>
      <c r="K1761" s="4"/>
      <c r="L1761" s="6">
        <f t="shared" si="27"/>
        <v>0.260823551501841</v>
      </c>
      <c r="M1761" s="4"/>
    </row>
    <row r="1762" spans="1:13">
      <c r="A1762" s="3">
        <v>45835</v>
      </c>
      <c r="B1762" s="4" t="s">
        <v>6</v>
      </c>
      <c r="C1762" s="4" t="s">
        <v>28</v>
      </c>
      <c r="D1762" s="4" t="s">
        <v>33</v>
      </c>
      <c r="E1762" s="4">
        <v>8</v>
      </c>
      <c r="F1762" s="4">
        <v>10871</v>
      </c>
      <c r="G1762" s="4">
        <v>86968</v>
      </c>
      <c r="H1762" s="4">
        <v>90401</v>
      </c>
      <c r="I1762" s="4"/>
      <c r="J1762" s="4"/>
      <c r="K1762" s="4"/>
      <c r="L1762" s="6">
        <f t="shared" si="27"/>
        <v>0.962024756363315</v>
      </c>
      <c r="M1762" s="4"/>
    </row>
    <row r="1763" spans="1:13">
      <c r="A1763" s="3">
        <v>45734</v>
      </c>
      <c r="B1763" s="4" t="s">
        <v>2</v>
      </c>
      <c r="C1763" s="4" t="s">
        <v>22</v>
      </c>
      <c r="D1763" s="4" t="s">
        <v>23</v>
      </c>
      <c r="E1763" s="4">
        <v>1</v>
      </c>
      <c r="F1763" s="4">
        <v>31277</v>
      </c>
      <c r="G1763" s="4">
        <v>31277</v>
      </c>
      <c r="H1763" s="4">
        <v>191251</v>
      </c>
      <c r="I1763" s="4"/>
      <c r="J1763" s="4"/>
      <c r="K1763" s="4"/>
      <c r="L1763" s="6">
        <f t="shared" si="27"/>
        <v>0.163539014175089</v>
      </c>
      <c r="M1763" s="4"/>
    </row>
    <row r="1764" spans="1:13">
      <c r="A1764" s="3">
        <v>45745</v>
      </c>
      <c r="B1764" s="4" t="s">
        <v>8</v>
      </c>
      <c r="C1764" s="4" t="s">
        <v>28</v>
      </c>
      <c r="D1764" s="4" t="s">
        <v>30</v>
      </c>
      <c r="E1764" s="4">
        <v>1</v>
      </c>
      <c r="F1764" s="4">
        <v>3190</v>
      </c>
      <c r="G1764" s="4">
        <v>3190</v>
      </c>
      <c r="H1764" s="4">
        <v>30436</v>
      </c>
      <c r="I1764" s="4"/>
      <c r="J1764" s="4"/>
      <c r="K1764" s="4"/>
      <c r="L1764" s="6">
        <f t="shared" si="27"/>
        <v>0.104810093310553</v>
      </c>
      <c r="M1764" s="4"/>
    </row>
    <row r="1765" spans="1:13">
      <c r="A1765" s="3">
        <v>45673</v>
      </c>
      <c r="B1765" s="4" t="s">
        <v>8</v>
      </c>
      <c r="C1765" s="4" t="s">
        <v>24</v>
      </c>
      <c r="D1765" s="4" t="s">
        <v>29</v>
      </c>
      <c r="E1765" s="4">
        <v>4</v>
      </c>
      <c r="F1765" s="4">
        <v>46735</v>
      </c>
      <c r="G1765" s="4">
        <v>186940</v>
      </c>
      <c r="H1765" s="4">
        <v>166911</v>
      </c>
      <c r="I1765" s="4"/>
      <c r="J1765" s="4"/>
      <c r="K1765" s="4"/>
      <c r="L1765" s="6">
        <f t="shared" si="27"/>
        <v>1.1199980828106</v>
      </c>
      <c r="M1765" s="4"/>
    </row>
    <row r="1766" spans="1:13">
      <c r="A1766" s="3">
        <v>45720</v>
      </c>
      <c r="B1766" s="4" t="s">
        <v>5</v>
      </c>
      <c r="C1766" s="4" t="s">
        <v>24</v>
      </c>
      <c r="D1766" s="4" t="s">
        <v>31</v>
      </c>
      <c r="E1766" s="4">
        <v>7</v>
      </c>
      <c r="F1766" s="4">
        <v>7696</v>
      </c>
      <c r="G1766" s="4">
        <v>53872</v>
      </c>
      <c r="H1766" s="4">
        <v>114011</v>
      </c>
      <c r="I1766" s="4"/>
      <c r="J1766" s="4"/>
      <c r="K1766" s="4"/>
      <c r="L1766" s="6">
        <f t="shared" si="27"/>
        <v>0.472515809877994</v>
      </c>
      <c r="M1766" s="4"/>
    </row>
    <row r="1767" spans="1:13">
      <c r="A1767" s="3">
        <v>45762</v>
      </c>
      <c r="B1767" s="4" t="s">
        <v>4</v>
      </c>
      <c r="C1767" s="4" t="s">
        <v>28</v>
      </c>
      <c r="D1767" s="4" t="s">
        <v>31</v>
      </c>
      <c r="E1767" s="4">
        <v>1</v>
      </c>
      <c r="F1767" s="4">
        <v>30866</v>
      </c>
      <c r="G1767" s="4">
        <v>30866</v>
      </c>
      <c r="H1767" s="4">
        <v>88639</v>
      </c>
      <c r="I1767" s="4"/>
      <c r="J1767" s="4"/>
      <c r="K1767" s="4"/>
      <c r="L1767" s="6">
        <f t="shared" si="27"/>
        <v>0.348221437516217</v>
      </c>
      <c r="M1767" s="4"/>
    </row>
    <row r="1768" spans="1:13">
      <c r="A1768" s="3">
        <v>45761</v>
      </c>
      <c r="B1768" s="4" t="s">
        <v>2</v>
      </c>
      <c r="C1768" s="4" t="s">
        <v>24</v>
      </c>
      <c r="D1768" s="4" t="s">
        <v>32</v>
      </c>
      <c r="E1768" s="4">
        <v>7</v>
      </c>
      <c r="F1768" s="4">
        <v>37150</v>
      </c>
      <c r="G1768" s="4">
        <v>260050</v>
      </c>
      <c r="H1768" s="4">
        <v>95436</v>
      </c>
      <c r="I1768" s="4"/>
      <c r="J1768" s="4"/>
      <c r="K1768" s="4"/>
      <c r="L1768" s="6">
        <f t="shared" si="27"/>
        <v>2.72486273523618</v>
      </c>
      <c r="M1768" s="4"/>
    </row>
    <row r="1769" spans="1:13">
      <c r="A1769" s="3">
        <v>45818</v>
      </c>
      <c r="B1769" s="4" t="s">
        <v>7</v>
      </c>
      <c r="C1769" s="4" t="s">
        <v>28</v>
      </c>
      <c r="D1769" s="4" t="s">
        <v>33</v>
      </c>
      <c r="E1769" s="4">
        <v>4</v>
      </c>
      <c r="F1769" s="4">
        <v>3858</v>
      </c>
      <c r="G1769" s="4">
        <v>15432</v>
      </c>
      <c r="H1769" s="4">
        <v>154201</v>
      </c>
      <c r="I1769" s="4"/>
      <c r="J1769" s="4"/>
      <c r="K1769" s="4"/>
      <c r="L1769" s="6">
        <f t="shared" si="27"/>
        <v>0.100077172002776</v>
      </c>
      <c r="M1769" s="4"/>
    </row>
    <row r="1770" spans="1:13">
      <c r="A1770" s="3">
        <v>45777</v>
      </c>
      <c r="B1770" s="4" t="s">
        <v>8</v>
      </c>
      <c r="C1770" s="4" t="s">
        <v>22</v>
      </c>
      <c r="D1770" s="4" t="s">
        <v>33</v>
      </c>
      <c r="E1770" s="4">
        <v>10</v>
      </c>
      <c r="F1770" s="4">
        <v>17850</v>
      </c>
      <c r="G1770" s="4">
        <v>178500</v>
      </c>
      <c r="H1770" s="4">
        <v>86010</v>
      </c>
      <c r="I1770" s="4"/>
      <c r="J1770" s="4"/>
      <c r="K1770" s="4"/>
      <c r="L1770" s="6">
        <f t="shared" si="27"/>
        <v>2.07534007673526</v>
      </c>
      <c r="M1770" s="4"/>
    </row>
    <row r="1771" spans="1:13">
      <c r="A1771" s="3">
        <v>45779</v>
      </c>
      <c r="B1771" s="4" t="s">
        <v>5</v>
      </c>
      <c r="C1771" s="4" t="s">
        <v>24</v>
      </c>
      <c r="D1771" s="4" t="s">
        <v>30</v>
      </c>
      <c r="E1771" s="4">
        <v>4</v>
      </c>
      <c r="F1771" s="4">
        <v>38366</v>
      </c>
      <c r="G1771" s="4">
        <v>153464</v>
      </c>
      <c r="H1771" s="4">
        <v>133819</v>
      </c>
      <c r="I1771" s="4"/>
      <c r="J1771" s="4"/>
      <c r="K1771" s="4"/>
      <c r="L1771" s="6">
        <f t="shared" si="27"/>
        <v>1.14680277090697</v>
      </c>
      <c r="M1771" s="4"/>
    </row>
    <row r="1772" spans="1:13">
      <c r="A1772" s="3">
        <v>45792</v>
      </c>
      <c r="B1772" s="4" t="s">
        <v>6</v>
      </c>
      <c r="C1772" s="4" t="s">
        <v>22</v>
      </c>
      <c r="D1772" s="4" t="s">
        <v>32</v>
      </c>
      <c r="E1772" s="4">
        <v>6</v>
      </c>
      <c r="F1772" s="4">
        <v>18706</v>
      </c>
      <c r="G1772" s="4">
        <v>112236</v>
      </c>
      <c r="H1772" s="4">
        <v>18743</v>
      </c>
      <c r="I1772" s="4"/>
      <c r="J1772" s="4"/>
      <c r="K1772" s="4"/>
      <c r="L1772" s="6">
        <f t="shared" si="27"/>
        <v>5.98815557808248</v>
      </c>
      <c r="M1772" s="4"/>
    </row>
    <row r="1773" spans="1:13">
      <c r="A1773" s="3">
        <v>45719</v>
      </c>
      <c r="B1773" s="4" t="s">
        <v>2</v>
      </c>
      <c r="C1773" s="4" t="s">
        <v>28</v>
      </c>
      <c r="D1773" s="4" t="s">
        <v>30</v>
      </c>
      <c r="E1773" s="4">
        <v>10</v>
      </c>
      <c r="F1773" s="4">
        <v>38014</v>
      </c>
      <c r="G1773" s="4">
        <v>380140</v>
      </c>
      <c r="H1773" s="4">
        <v>51108</v>
      </c>
      <c r="I1773" s="4"/>
      <c r="J1773" s="4"/>
      <c r="K1773" s="4"/>
      <c r="L1773" s="6">
        <f t="shared" si="27"/>
        <v>7.43797448540346</v>
      </c>
      <c r="M1773" s="4"/>
    </row>
    <row r="1774" spans="1:13">
      <c r="A1774" s="3">
        <v>45779</v>
      </c>
      <c r="B1774" s="4" t="s">
        <v>2</v>
      </c>
      <c r="C1774" s="4" t="s">
        <v>28</v>
      </c>
      <c r="D1774" s="4" t="s">
        <v>29</v>
      </c>
      <c r="E1774" s="4">
        <v>2</v>
      </c>
      <c r="F1774" s="4">
        <v>15540</v>
      </c>
      <c r="G1774" s="4">
        <v>31080</v>
      </c>
      <c r="H1774" s="4">
        <v>31532</v>
      </c>
      <c r="I1774" s="4"/>
      <c r="J1774" s="4"/>
      <c r="K1774" s="4"/>
      <c r="L1774" s="6">
        <f t="shared" si="27"/>
        <v>0.985665355828999</v>
      </c>
      <c r="M1774" s="4"/>
    </row>
    <row r="1775" spans="1:13">
      <c r="A1775" s="3">
        <v>45723</v>
      </c>
      <c r="B1775" s="4" t="s">
        <v>7</v>
      </c>
      <c r="C1775" s="4" t="s">
        <v>22</v>
      </c>
      <c r="D1775" s="4" t="s">
        <v>30</v>
      </c>
      <c r="E1775" s="4">
        <v>4</v>
      </c>
      <c r="F1775" s="4">
        <v>15895</v>
      </c>
      <c r="G1775" s="4">
        <v>63580</v>
      </c>
      <c r="H1775" s="4">
        <v>198585</v>
      </c>
      <c r="I1775" s="4"/>
      <c r="J1775" s="4"/>
      <c r="K1775" s="4"/>
      <c r="L1775" s="6">
        <f t="shared" si="27"/>
        <v>0.320165168567616</v>
      </c>
      <c r="M1775" s="4"/>
    </row>
    <row r="1776" spans="1:13">
      <c r="A1776" s="3">
        <v>45782</v>
      </c>
      <c r="B1776" s="4" t="s">
        <v>8</v>
      </c>
      <c r="C1776" s="4" t="s">
        <v>22</v>
      </c>
      <c r="D1776" s="4" t="s">
        <v>33</v>
      </c>
      <c r="E1776" s="4">
        <v>2</v>
      </c>
      <c r="F1776" s="4">
        <v>5042</v>
      </c>
      <c r="G1776" s="4">
        <v>10084</v>
      </c>
      <c r="H1776" s="4">
        <v>100266</v>
      </c>
      <c r="I1776" s="4"/>
      <c r="J1776" s="4"/>
      <c r="K1776" s="4"/>
      <c r="L1776" s="6">
        <f t="shared" si="27"/>
        <v>0.10057247721062</v>
      </c>
      <c r="M1776" s="4"/>
    </row>
    <row r="1777" spans="1:13">
      <c r="A1777" s="3">
        <v>45812</v>
      </c>
      <c r="B1777" s="4" t="s">
        <v>5</v>
      </c>
      <c r="C1777" s="4" t="s">
        <v>26</v>
      </c>
      <c r="D1777" s="4" t="s">
        <v>25</v>
      </c>
      <c r="E1777" s="4">
        <v>4</v>
      </c>
      <c r="F1777" s="4">
        <v>10166</v>
      </c>
      <c r="G1777" s="4">
        <v>40664</v>
      </c>
      <c r="H1777" s="4">
        <v>181319</v>
      </c>
      <c r="I1777" s="4"/>
      <c r="J1777" s="4"/>
      <c r="K1777" s="4"/>
      <c r="L1777" s="6">
        <f t="shared" si="27"/>
        <v>0.224267727044601</v>
      </c>
      <c r="M1777" s="4"/>
    </row>
    <row r="1778" spans="1:13">
      <c r="A1778" s="3">
        <v>45683</v>
      </c>
      <c r="B1778" s="4" t="s">
        <v>2</v>
      </c>
      <c r="C1778" s="4" t="s">
        <v>24</v>
      </c>
      <c r="D1778" s="4" t="s">
        <v>31</v>
      </c>
      <c r="E1778" s="4">
        <v>1</v>
      </c>
      <c r="F1778" s="4">
        <v>10232</v>
      </c>
      <c r="G1778" s="4">
        <v>10232</v>
      </c>
      <c r="H1778" s="4">
        <v>158897</v>
      </c>
      <c r="I1778" s="4"/>
      <c r="J1778" s="4"/>
      <c r="K1778" s="4"/>
      <c r="L1778" s="6">
        <f t="shared" si="27"/>
        <v>0.0643939155553598</v>
      </c>
      <c r="M1778" s="4"/>
    </row>
    <row r="1779" spans="1:13">
      <c r="A1779" s="3">
        <v>45709</v>
      </c>
      <c r="B1779" s="4" t="s">
        <v>3</v>
      </c>
      <c r="C1779" s="4" t="s">
        <v>22</v>
      </c>
      <c r="D1779" s="4" t="s">
        <v>25</v>
      </c>
      <c r="E1779" s="4">
        <v>1</v>
      </c>
      <c r="F1779" s="4">
        <v>8461</v>
      </c>
      <c r="G1779" s="4">
        <v>8461</v>
      </c>
      <c r="H1779" s="4">
        <v>27910</v>
      </c>
      <c r="I1779" s="4"/>
      <c r="J1779" s="4"/>
      <c r="K1779" s="4"/>
      <c r="L1779" s="6">
        <f t="shared" si="27"/>
        <v>0.303152991759226</v>
      </c>
      <c r="M1779" s="4"/>
    </row>
    <row r="1780" spans="1:13">
      <c r="A1780" s="3">
        <v>45669</v>
      </c>
      <c r="B1780" s="4" t="s">
        <v>5</v>
      </c>
      <c r="C1780" s="4" t="s">
        <v>24</v>
      </c>
      <c r="D1780" s="4" t="s">
        <v>27</v>
      </c>
      <c r="E1780" s="4">
        <v>2</v>
      </c>
      <c r="F1780" s="4">
        <v>22992</v>
      </c>
      <c r="G1780" s="4">
        <v>45984</v>
      </c>
      <c r="H1780" s="4">
        <v>78858</v>
      </c>
      <c r="I1780" s="4"/>
      <c r="J1780" s="4"/>
      <c r="K1780" s="4"/>
      <c r="L1780" s="6">
        <f t="shared" si="27"/>
        <v>0.583124096477212</v>
      </c>
      <c r="M1780" s="4"/>
    </row>
    <row r="1781" spans="1:13">
      <c r="A1781" s="3">
        <v>45682</v>
      </c>
      <c r="B1781" s="4" t="s">
        <v>2</v>
      </c>
      <c r="C1781" s="4" t="s">
        <v>28</v>
      </c>
      <c r="D1781" s="4" t="s">
        <v>25</v>
      </c>
      <c r="E1781" s="4">
        <v>9</v>
      </c>
      <c r="F1781" s="4">
        <v>30699</v>
      </c>
      <c r="G1781" s="4">
        <v>276291</v>
      </c>
      <c r="H1781" s="4">
        <v>15515</v>
      </c>
      <c r="I1781" s="4"/>
      <c r="J1781" s="4"/>
      <c r="K1781" s="4"/>
      <c r="L1781" s="6">
        <f t="shared" si="27"/>
        <v>17.8079922655495</v>
      </c>
      <c r="M1781" s="4"/>
    </row>
    <row r="1782" spans="1:13">
      <c r="A1782" s="3">
        <v>45737</v>
      </c>
      <c r="B1782" s="4" t="s">
        <v>6</v>
      </c>
      <c r="C1782" s="4" t="s">
        <v>26</v>
      </c>
      <c r="D1782" s="4" t="s">
        <v>25</v>
      </c>
      <c r="E1782" s="4">
        <v>5</v>
      </c>
      <c r="F1782" s="4">
        <v>21628</v>
      </c>
      <c r="G1782" s="4">
        <v>108140</v>
      </c>
      <c r="H1782" s="4">
        <v>144598</v>
      </c>
      <c r="I1782" s="4"/>
      <c r="J1782" s="4"/>
      <c r="K1782" s="4"/>
      <c r="L1782" s="6">
        <f t="shared" si="27"/>
        <v>0.747866498845074</v>
      </c>
      <c r="M1782" s="4"/>
    </row>
    <row r="1783" spans="1:13">
      <c r="A1783" s="3">
        <v>45710</v>
      </c>
      <c r="B1783" s="4" t="s">
        <v>6</v>
      </c>
      <c r="C1783" s="4" t="s">
        <v>26</v>
      </c>
      <c r="D1783" s="4" t="s">
        <v>30</v>
      </c>
      <c r="E1783" s="4">
        <v>5</v>
      </c>
      <c r="F1783" s="4">
        <v>16946</v>
      </c>
      <c r="G1783" s="4">
        <v>84730</v>
      </c>
      <c r="H1783" s="4">
        <v>182616</v>
      </c>
      <c r="I1783" s="4"/>
      <c r="J1783" s="4"/>
      <c r="K1783" s="4"/>
      <c r="L1783" s="6">
        <f t="shared" si="27"/>
        <v>0.463979059885224</v>
      </c>
      <c r="M1783" s="4"/>
    </row>
    <row r="1784" spans="1:13">
      <c r="A1784" s="3">
        <v>45707</v>
      </c>
      <c r="B1784" s="4" t="s">
        <v>5</v>
      </c>
      <c r="C1784" s="4" t="s">
        <v>22</v>
      </c>
      <c r="D1784" s="4" t="s">
        <v>27</v>
      </c>
      <c r="E1784" s="4">
        <v>2</v>
      </c>
      <c r="F1784" s="4">
        <v>10814</v>
      </c>
      <c r="G1784" s="4">
        <v>21628</v>
      </c>
      <c r="H1784" s="4">
        <v>10828</v>
      </c>
      <c r="I1784" s="4"/>
      <c r="J1784" s="4"/>
      <c r="K1784" s="4"/>
      <c r="L1784" s="6">
        <f t="shared" si="27"/>
        <v>1.99741411156262</v>
      </c>
      <c r="M1784" s="4"/>
    </row>
    <row r="1785" spans="1:13">
      <c r="A1785" s="3">
        <v>45687</v>
      </c>
      <c r="B1785" s="4" t="s">
        <v>8</v>
      </c>
      <c r="C1785" s="4" t="s">
        <v>24</v>
      </c>
      <c r="D1785" s="4" t="s">
        <v>33</v>
      </c>
      <c r="E1785" s="4">
        <v>10</v>
      </c>
      <c r="F1785" s="4">
        <v>44339</v>
      </c>
      <c r="G1785" s="4">
        <v>443390</v>
      </c>
      <c r="H1785" s="4">
        <v>167084</v>
      </c>
      <c r="I1785" s="4"/>
      <c r="J1785" s="4"/>
      <c r="K1785" s="4"/>
      <c r="L1785" s="6">
        <f t="shared" si="27"/>
        <v>2.65369514735103</v>
      </c>
      <c r="M1785" s="4"/>
    </row>
    <row r="1786" spans="1:13">
      <c r="A1786" s="3">
        <v>45829</v>
      </c>
      <c r="B1786" s="4" t="s">
        <v>4</v>
      </c>
      <c r="C1786" s="4" t="s">
        <v>22</v>
      </c>
      <c r="D1786" s="4" t="s">
        <v>23</v>
      </c>
      <c r="E1786" s="4">
        <v>1</v>
      </c>
      <c r="F1786" s="4">
        <v>2994</v>
      </c>
      <c r="G1786" s="4">
        <v>2994</v>
      </c>
      <c r="H1786" s="4">
        <v>74138</v>
      </c>
      <c r="I1786" s="4"/>
      <c r="J1786" s="4"/>
      <c r="K1786" s="4"/>
      <c r="L1786" s="6">
        <f t="shared" si="27"/>
        <v>0.0403841484798619</v>
      </c>
      <c r="M1786" s="4"/>
    </row>
    <row r="1787" spans="1:13">
      <c r="A1787" s="3">
        <v>45752</v>
      </c>
      <c r="B1787" s="4" t="s">
        <v>6</v>
      </c>
      <c r="C1787" s="4" t="s">
        <v>24</v>
      </c>
      <c r="D1787" s="4" t="s">
        <v>29</v>
      </c>
      <c r="E1787" s="4">
        <v>2</v>
      </c>
      <c r="F1787" s="4">
        <v>10735</v>
      </c>
      <c r="G1787" s="4">
        <v>21470</v>
      </c>
      <c r="H1787" s="4">
        <v>128173</v>
      </c>
      <c r="I1787" s="4"/>
      <c r="J1787" s="4"/>
      <c r="K1787" s="4"/>
      <c r="L1787" s="6">
        <f t="shared" si="27"/>
        <v>0.167507977499161</v>
      </c>
      <c r="M1787" s="4"/>
    </row>
    <row r="1788" spans="1:13">
      <c r="A1788" s="3">
        <v>45708</v>
      </c>
      <c r="B1788" s="4" t="s">
        <v>8</v>
      </c>
      <c r="C1788" s="4" t="s">
        <v>22</v>
      </c>
      <c r="D1788" s="4" t="s">
        <v>25</v>
      </c>
      <c r="E1788" s="4">
        <v>1</v>
      </c>
      <c r="F1788" s="4">
        <v>16202</v>
      </c>
      <c r="G1788" s="4">
        <v>16202</v>
      </c>
      <c r="H1788" s="4">
        <v>147747</v>
      </c>
      <c r="I1788" s="4"/>
      <c r="J1788" s="4"/>
      <c r="K1788" s="4"/>
      <c r="L1788" s="6">
        <f t="shared" si="27"/>
        <v>0.109660433037557</v>
      </c>
      <c r="M1788" s="4"/>
    </row>
    <row r="1789" spans="1:13">
      <c r="A1789" s="3">
        <v>45769</v>
      </c>
      <c r="B1789" s="4" t="s">
        <v>3</v>
      </c>
      <c r="C1789" s="4" t="s">
        <v>26</v>
      </c>
      <c r="D1789" s="4" t="s">
        <v>23</v>
      </c>
      <c r="E1789" s="4">
        <v>1</v>
      </c>
      <c r="F1789" s="4">
        <v>45148</v>
      </c>
      <c r="G1789" s="4">
        <v>45148</v>
      </c>
      <c r="H1789" s="4">
        <v>189873</v>
      </c>
      <c r="I1789" s="4"/>
      <c r="J1789" s="4"/>
      <c r="K1789" s="4"/>
      <c r="L1789" s="6">
        <f t="shared" si="27"/>
        <v>0.237779989782644</v>
      </c>
      <c r="M1789" s="4"/>
    </row>
    <row r="1790" spans="1:13">
      <c r="A1790" s="3">
        <v>45703</v>
      </c>
      <c r="B1790" s="4" t="s">
        <v>8</v>
      </c>
      <c r="C1790" s="4" t="s">
        <v>22</v>
      </c>
      <c r="D1790" s="4" t="s">
        <v>33</v>
      </c>
      <c r="E1790" s="4">
        <v>4</v>
      </c>
      <c r="F1790" s="4">
        <v>15535</v>
      </c>
      <c r="G1790" s="4">
        <v>62140</v>
      </c>
      <c r="H1790" s="4">
        <v>76662</v>
      </c>
      <c r="I1790" s="4"/>
      <c r="J1790" s="4"/>
      <c r="K1790" s="4"/>
      <c r="L1790" s="6">
        <f t="shared" si="27"/>
        <v>0.810571078239545</v>
      </c>
      <c r="M1790" s="4"/>
    </row>
    <row r="1791" spans="1:13">
      <c r="A1791" s="3">
        <v>45797</v>
      </c>
      <c r="B1791" s="4" t="s">
        <v>3</v>
      </c>
      <c r="C1791" s="4" t="s">
        <v>26</v>
      </c>
      <c r="D1791" s="4" t="s">
        <v>32</v>
      </c>
      <c r="E1791" s="4">
        <v>2</v>
      </c>
      <c r="F1791" s="4">
        <v>38696</v>
      </c>
      <c r="G1791" s="4">
        <v>77392</v>
      </c>
      <c r="H1791" s="4">
        <v>187803</v>
      </c>
      <c r="I1791" s="4"/>
      <c r="J1791" s="4"/>
      <c r="K1791" s="4"/>
      <c r="L1791" s="6">
        <f t="shared" si="27"/>
        <v>0.412091393641209</v>
      </c>
      <c r="M1791" s="4"/>
    </row>
    <row r="1792" spans="1:13">
      <c r="A1792" s="3">
        <v>45701</v>
      </c>
      <c r="B1792" s="4" t="s">
        <v>7</v>
      </c>
      <c r="C1792" s="4" t="s">
        <v>28</v>
      </c>
      <c r="D1792" s="4" t="s">
        <v>33</v>
      </c>
      <c r="E1792" s="4">
        <v>9</v>
      </c>
      <c r="F1792" s="4">
        <v>4354</v>
      </c>
      <c r="G1792" s="4">
        <v>39186</v>
      </c>
      <c r="H1792" s="4">
        <v>74322</v>
      </c>
      <c r="I1792" s="4"/>
      <c r="J1792" s="4"/>
      <c r="K1792" s="4"/>
      <c r="L1792" s="6">
        <f t="shared" si="27"/>
        <v>0.52724630661177</v>
      </c>
      <c r="M1792" s="4"/>
    </row>
    <row r="1793" spans="1:13">
      <c r="A1793" s="3">
        <v>45822</v>
      </c>
      <c r="B1793" s="4" t="s">
        <v>2</v>
      </c>
      <c r="C1793" s="4" t="s">
        <v>24</v>
      </c>
      <c r="D1793" s="4" t="s">
        <v>23</v>
      </c>
      <c r="E1793" s="4">
        <v>7</v>
      </c>
      <c r="F1793" s="4">
        <v>12512</v>
      </c>
      <c r="G1793" s="4">
        <v>87584</v>
      </c>
      <c r="H1793" s="4">
        <v>177908</v>
      </c>
      <c r="I1793" s="4"/>
      <c r="J1793" s="4"/>
      <c r="K1793" s="4"/>
      <c r="L1793" s="6">
        <f t="shared" si="27"/>
        <v>0.492299390696315</v>
      </c>
      <c r="M1793" s="4"/>
    </row>
    <row r="1794" spans="1:13">
      <c r="A1794" s="3">
        <v>45702</v>
      </c>
      <c r="B1794" s="4" t="s">
        <v>5</v>
      </c>
      <c r="C1794" s="4" t="s">
        <v>26</v>
      </c>
      <c r="D1794" s="4" t="s">
        <v>25</v>
      </c>
      <c r="E1794" s="4">
        <v>7</v>
      </c>
      <c r="F1794" s="4">
        <v>49048</v>
      </c>
      <c r="G1794" s="4">
        <v>343336</v>
      </c>
      <c r="H1794" s="4">
        <v>154543</v>
      </c>
      <c r="I1794" s="4"/>
      <c r="J1794" s="4"/>
      <c r="K1794" s="4"/>
      <c r="L1794" s="6">
        <f t="shared" si="27"/>
        <v>2.22162116692442</v>
      </c>
      <c r="M1794" s="4"/>
    </row>
    <row r="1795" spans="1:13">
      <c r="A1795" s="3">
        <v>45660</v>
      </c>
      <c r="B1795" s="4" t="s">
        <v>6</v>
      </c>
      <c r="C1795" s="4" t="s">
        <v>24</v>
      </c>
      <c r="D1795" s="4" t="s">
        <v>25</v>
      </c>
      <c r="E1795" s="4">
        <v>1</v>
      </c>
      <c r="F1795" s="4">
        <v>12753</v>
      </c>
      <c r="G1795" s="4">
        <v>12753</v>
      </c>
      <c r="H1795" s="4">
        <v>165550</v>
      </c>
      <c r="I1795" s="4"/>
      <c r="J1795" s="4"/>
      <c r="K1795" s="4"/>
      <c r="L1795" s="6">
        <f t="shared" ref="L1795:L1858" si="28">G1795/H1795</f>
        <v>0.0770341286620356</v>
      </c>
      <c r="M1795" s="4"/>
    </row>
    <row r="1796" spans="1:13">
      <c r="A1796" s="3">
        <v>45698</v>
      </c>
      <c r="B1796" s="4" t="s">
        <v>5</v>
      </c>
      <c r="C1796" s="4" t="s">
        <v>28</v>
      </c>
      <c r="D1796" s="4" t="s">
        <v>33</v>
      </c>
      <c r="E1796" s="4">
        <v>2</v>
      </c>
      <c r="F1796" s="4">
        <v>29015</v>
      </c>
      <c r="G1796" s="4">
        <v>58030</v>
      </c>
      <c r="H1796" s="4">
        <v>132642</v>
      </c>
      <c r="I1796" s="4"/>
      <c r="J1796" s="4"/>
      <c r="K1796" s="4"/>
      <c r="L1796" s="6">
        <f t="shared" si="28"/>
        <v>0.43749340329609</v>
      </c>
      <c r="M1796" s="4"/>
    </row>
    <row r="1797" spans="1:13">
      <c r="A1797" s="3">
        <v>45779</v>
      </c>
      <c r="B1797" s="4" t="s">
        <v>4</v>
      </c>
      <c r="C1797" s="4" t="s">
        <v>28</v>
      </c>
      <c r="D1797" s="4" t="s">
        <v>33</v>
      </c>
      <c r="E1797" s="4">
        <v>6</v>
      </c>
      <c r="F1797" s="4">
        <v>30644</v>
      </c>
      <c r="G1797" s="4">
        <v>183864</v>
      </c>
      <c r="H1797" s="4">
        <v>144751</v>
      </c>
      <c r="I1797" s="4"/>
      <c r="J1797" s="4"/>
      <c r="K1797" s="4"/>
      <c r="L1797" s="6">
        <f t="shared" si="28"/>
        <v>1.2702088413897</v>
      </c>
      <c r="M1797" s="4"/>
    </row>
    <row r="1798" spans="1:13">
      <c r="A1798" s="3">
        <v>45815</v>
      </c>
      <c r="B1798" s="4" t="s">
        <v>8</v>
      </c>
      <c r="C1798" s="4" t="s">
        <v>26</v>
      </c>
      <c r="D1798" s="4" t="s">
        <v>31</v>
      </c>
      <c r="E1798" s="4">
        <v>1</v>
      </c>
      <c r="F1798" s="4">
        <v>45772</v>
      </c>
      <c r="G1798" s="4">
        <v>45772</v>
      </c>
      <c r="H1798" s="4">
        <v>81941</v>
      </c>
      <c r="I1798" s="4"/>
      <c r="J1798" s="4"/>
      <c r="K1798" s="4"/>
      <c r="L1798" s="6">
        <f t="shared" si="28"/>
        <v>0.558597039333179</v>
      </c>
      <c r="M1798" s="4"/>
    </row>
    <row r="1799" spans="1:13">
      <c r="A1799" s="3">
        <v>45768</v>
      </c>
      <c r="B1799" s="4" t="s">
        <v>6</v>
      </c>
      <c r="C1799" s="4" t="s">
        <v>22</v>
      </c>
      <c r="D1799" s="4" t="s">
        <v>30</v>
      </c>
      <c r="E1799" s="4">
        <v>2</v>
      </c>
      <c r="F1799" s="4">
        <v>21307</v>
      </c>
      <c r="G1799" s="4">
        <v>42614</v>
      </c>
      <c r="H1799" s="4">
        <v>113103</v>
      </c>
      <c r="I1799" s="4"/>
      <c r="J1799" s="4"/>
      <c r="K1799" s="4"/>
      <c r="L1799" s="6">
        <f t="shared" si="28"/>
        <v>0.376771615253353</v>
      </c>
      <c r="M1799" s="4"/>
    </row>
    <row r="1800" spans="1:13">
      <c r="A1800" s="3">
        <v>45692</v>
      </c>
      <c r="B1800" s="4" t="s">
        <v>8</v>
      </c>
      <c r="C1800" s="4" t="s">
        <v>28</v>
      </c>
      <c r="D1800" s="4" t="s">
        <v>33</v>
      </c>
      <c r="E1800" s="4">
        <v>5</v>
      </c>
      <c r="F1800" s="4">
        <v>44423</v>
      </c>
      <c r="G1800" s="4">
        <v>222115</v>
      </c>
      <c r="H1800" s="4">
        <v>164241</v>
      </c>
      <c r="I1800" s="4"/>
      <c r="J1800" s="4"/>
      <c r="K1800" s="4"/>
      <c r="L1800" s="6">
        <f t="shared" si="28"/>
        <v>1.3523724283218</v>
      </c>
      <c r="M1800" s="4"/>
    </row>
    <row r="1801" spans="1:13">
      <c r="A1801" s="3">
        <v>45808</v>
      </c>
      <c r="B1801" s="4" t="s">
        <v>7</v>
      </c>
      <c r="C1801" s="4" t="s">
        <v>26</v>
      </c>
      <c r="D1801" s="4" t="s">
        <v>31</v>
      </c>
      <c r="E1801" s="4">
        <v>6</v>
      </c>
      <c r="F1801" s="4">
        <v>19777</v>
      </c>
      <c r="G1801" s="4">
        <v>118662</v>
      </c>
      <c r="H1801" s="4">
        <v>91074</v>
      </c>
      <c r="I1801" s="4"/>
      <c r="J1801" s="4"/>
      <c r="K1801" s="4"/>
      <c r="L1801" s="6">
        <f t="shared" si="28"/>
        <v>1.30291850583042</v>
      </c>
      <c r="M1801" s="4"/>
    </row>
    <row r="1802" spans="1:13">
      <c r="A1802" s="3">
        <v>45772</v>
      </c>
      <c r="B1802" s="4" t="s">
        <v>6</v>
      </c>
      <c r="C1802" s="4" t="s">
        <v>28</v>
      </c>
      <c r="D1802" s="4" t="s">
        <v>31</v>
      </c>
      <c r="E1802" s="4">
        <v>9</v>
      </c>
      <c r="F1802" s="4">
        <v>21794</v>
      </c>
      <c r="G1802" s="4">
        <v>196146</v>
      </c>
      <c r="H1802" s="4">
        <v>176006</v>
      </c>
      <c r="I1802" s="4"/>
      <c r="J1802" s="4"/>
      <c r="K1802" s="4"/>
      <c r="L1802" s="6">
        <f t="shared" si="28"/>
        <v>1.11442791723009</v>
      </c>
      <c r="M1802" s="4"/>
    </row>
    <row r="1803" spans="1:13">
      <c r="A1803" s="3">
        <v>45800</v>
      </c>
      <c r="B1803" s="4" t="s">
        <v>4</v>
      </c>
      <c r="C1803" s="4" t="s">
        <v>26</v>
      </c>
      <c r="D1803" s="4" t="s">
        <v>30</v>
      </c>
      <c r="E1803" s="4">
        <v>1</v>
      </c>
      <c r="F1803" s="4">
        <v>45308</v>
      </c>
      <c r="G1803" s="4">
        <v>45308</v>
      </c>
      <c r="H1803" s="4">
        <v>177837</v>
      </c>
      <c r="I1803" s="4"/>
      <c r="J1803" s="4"/>
      <c r="K1803" s="4"/>
      <c r="L1803" s="6">
        <f t="shared" si="28"/>
        <v>0.254772628868008</v>
      </c>
      <c r="M1803" s="4"/>
    </row>
    <row r="1804" spans="1:13">
      <c r="A1804" s="3">
        <v>45694</v>
      </c>
      <c r="B1804" s="4" t="s">
        <v>2</v>
      </c>
      <c r="C1804" s="4" t="s">
        <v>24</v>
      </c>
      <c r="D1804" s="4" t="s">
        <v>32</v>
      </c>
      <c r="E1804" s="4">
        <v>3</v>
      </c>
      <c r="F1804" s="4">
        <v>6556</v>
      </c>
      <c r="G1804" s="4">
        <v>19668</v>
      </c>
      <c r="H1804" s="4">
        <v>89348</v>
      </c>
      <c r="I1804" s="4"/>
      <c r="J1804" s="4"/>
      <c r="K1804" s="4"/>
      <c r="L1804" s="6">
        <f t="shared" si="28"/>
        <v>0.220128038680217</v>
      </c>
      <c r="M1804" s="4"/>
    </row>
    <row r="1805" spans="1:13">
      <c r="A1805" s="3">
        <v>45687</v>
      </c>
      <c r="B1805" s="4" t="s">
        <v>3</v>
      </c>
      <c r="C1805" s="4" t="s">
        <v>22</v>
      </c>
      <c r="D1805" s="4" t="s">
        <v>33</v>
      </c>
      <c r="E1805" s="4">
        <v>3</v>
      </c>
      <c r="F1805" s="4">
        <v>47930</v>
      </c>
      <c r="G1805" s="4">
        <v>143790</v>
      </c>
      <c r="H1805" s="4">
        <v>106550</v>
      </c>
      <c r="I1805" s="4"/>
      <c r="J1805" s="4"/>
      <c r="K1805" s="4"/>
      <c r="L1805" s="6">
        <f t="shared" si="28"/>
        <v>1.34950727358048</v>
      </c>
      <c r="M1805" s="4"/>
    </row>
    <row r="1806" spans="1:13">
      <c r="A1806" s="3">
        <v>45751</v>
      </c>
      <c r="B1806" s="4" t="s">
        <v>2</v>
      </c>
      <c r="C1806" s="4" t="s">
        <v>22</v>
      </c>
      <c r="D1806" s="4" t="s">
        <v>27</v>
      </c>
      <c r="E1806" s="4">
        <v>5</v>
      </c>
      <c r="F1806" s="4">
        <v>7355</v>
      </c>
      <c r="G1806" s="4">
        <v>36775</v>
      </c>
      <c r="H1806" s="4">
        <v>40352</v>
      </c>
      <c r="I1806" s="4"/>
      <c r="J1806" s="4"/>
      <c r="K1806" s="4"/>
      <c r="L1806" s="6">
        <f t="shared" si="28"/>
        <v>0.911355075337034</v>
      </c>
      <c r="M1806" s="4"/>
    </row>
    <row r="1807" spans="1:13">
      <c r="A1807" s="3">
        <v>45690</v>
      </c>
      <c r="B1807" s="4" t="s">
        <v>2</v>
      </c>
      <c r="C1807" s="4" t="s">
        <v>28</v>
      </c>
      <c r="D1807" s="4" t="s">
        <v>29</v>
      </c>
      <c r="E1807" s="4">
        <v>9</v>
      </c>
      <c r="F1807" s="4">
        <v>25234</v>
      </c>
      <c r="G1807" s="4">
        <v>227106</v>
      </c>
      <c r="H1807" s="4">
        <v>191428</v>
      </c>
      <c r="I1807" s="4"/>
      <c r="J1807" s="4"/>
      <c r="K1807" s="4"/>
      <c r="L1807" s="6">
        <f t="shared" si="28"/>
        <v>1.18637816829304</v>
      </c>
      <c r="M1807" s="4"/>
    </row>
    <row r="1808" spans="1:13">
      <c r="A1808" s="3">
        <v>45698</v>
      </c>
      <c r="B1808" s="4" t="s">
        <v>4</v>
      </c>
      <c r="C1808" s="4" t="s">
        <v>24</v>
      </c>
      <c r="D1808" s="4" t="s">
        <v>30</v>
      </c>
      <c r="E1808" s="4">
        <v>8</v>
      </c>
      <c r="F1808" s="4">
        <v>15372</v>
      </c>
      <c r="G1808" s="4">
        <v>122976</v>
      </c>
      <c r="H1808" s="4">
        <v>21960</v>
      </c>
      <c r="I1808" s="4"/>
      <c r="J1808" s="4"/>
      <c r="K1808" s="4"/>
      <c r="L1808" s="6">
        <f t="shared" si="28"/>
        <v>5.6</v>
      </c>
      <c r="M1808" s="4"/>
    </row>
    <row r="1809" spans="1:13">
      <c r="A1809" s="3">
        <v>45739</v>
      </c>
      <c r="B1809" s="4" t="s">
        <v>3</v>
      </c>
      <c r="C1809" s="4" t="s">
        <v>28</v>
      </c>
      <c r="D1809" s="4" t="s">
        <v>31</v>
      </c>
      <c r="E1809" s="4">
        <v>5</v>
      </c>
      <c r="F1809" s="4">
        <v>49342</v>
      </c>
      <c r="G1809" s="4">
        <v>246710</v>
      </c>
      <c r="H1809" s="4">
        <v>36820</v>
      </c>
      <c r="I1809" s="4"/>
      <c r="J1809" s="4"/>
      <c r="K1809" s="4"/>
      <c r="L1809" s="6">
        <f t="shared" si="28"/>
        <v>6.70043454644215</v>
      </c>
      <c r="M1809" s="4"/>
    </row>
    <row r="1810" spans="1:13">
      <c r="A1810" s="3">
        <v>45679</v>
      </c>
      <c r="B1810" s="4" t="s">
        <v>7</v>
      </c>
      <c r="C1810" s="4" t="s">
        <v>28</v>
      </c>
      <c r="D1810" s="4" t="s">
        <v>31</v>
      </c>
      <c r="E1810" s="4">
        <v>6</v>
      </c>
      <c r="F1810" s="4">
        <v>39056</v>
      </c>
      <c r="G1810" s="4">
        <v>234336</v>
      </c>
      <c r="H1810" s="4">
        <v>167419</v>
      </c>
      <c r="I1810" s="4"/>
      <c r="J1810" s="4"/>
      <c r="K1810" s="4"/>
      <c r="L1810" s="6">
        <f t="shared" si="28"/>
        <v>1.39969776429199</v>
      </c>
      <c r="M1810" s="4"/>
    </row>
    <row r="1811" spans="1:13">
      <c r="A1811" s="3">
        <v>45716</v>
      </c>
      <c r="B1811" s="4" t="s">
        <v>4</v>
      </c>
      <c r="C1811" s="4" t="s">
        <v>24</v>
      </c>
      <c r="D1811" s="4" t="s">
        <v>25</v>
      </c>
      <c r="E1811" s="4">
        <v>6</v>
      </c>
      <c r="F1811" s="4">
        <v>46111</v>
      </c>
      <c r="G1811" s="4">
        <v>276666</v>
      </c>
      <c r="H1811" s="4">
        <v>55554</v>
      </c>
      <c r="I1811" s="4"/>
      <c r="J1811" s="4"/>
      <c r="K1811" s="4"/>
      <c r="L1811" s="6">
        <f t="shared" si="28"/>
        <v>4.98012744356842</v>
      </c>
      <c r="M1811" s="4"/>
    </row>
    <row r="1812" spans="1:13">
      <c r="A1812" s="3">
        <v>45758</v>
      </c>
      <c r="B1812" s="4" t="s">
        <v>2</v>
      </c>
      <c r="C1812" s="4" t="s">
        <v>26</v>
      </c>
      <c r="D1812" s="4" t="s">
        <v>29</v>
      </c>
      <c r="E1812" s="4">
        <v>5</v>
      </c>
      <c r="F1812" s="4">
        <v>44098</v>
      </c>
      <c r="G1812" s="4">
        <v>220490</v>
      </c>
      <c r="H1812" s="4">
        <v>172690</v>
      </c>
      <c r="I1812" s="4"/>
      <c r="J1812" s="4"/>
      <c r="K1812" s="4"/>
      <c r="L1812" s="6">
        <f t="shared" si="28"/>
        <v>1.27679657189183</v>
      </c>
      <c r="M1812" s="4"/>
    </row>
    <row r="1813" spans="1:13">
      <c r="A1813" s="3">
        <v>45737</v>
      </c>
      <c r="B1813" s="4" t="s">
        <v>3</v>
      </c>
      <c r="C1813" s="4" t="s">
        <v>24</v>
      </c>
      <c r="D1813" s="4" t="s">
        <v>29</v>
      </c>
      <c r="E1813" s="4">
        <v>7</v>
      </c>
      <c r="F1813" s="4">
        <v>31651</v>
      </c>
      <c r="G1813" s="4">
        <v>221557</v>
      </c>
      <c r="H1813" s="4">
        <v>57659</v>
      </c>
      <c r="I1813" s="4"/>
      <c r="J1813" s="4"/>
      <c r="K1813" s="4"/>
      <c r="L1813" s="6">
        <f t="shared" si="28"/>
        <v>3.84253975962122</v>
      </c>
      <c r="M1813" s="4"/>
    </row>
    <row r="1814" spans="1:13">
      <c r="A1814" s="3">
        <v>45761</v>
      </c>
      <c r="B1814" s="4" t="s">
        <v>4</v>
      </c>
      <c r="C1814" s="4" t="s">
        <v>28</v>
      </c>
      <c r="D1814" s="4" t="s">
        <v>27</v>
      </c>
      <c r="E1814" s="4">
        <v>10</v>
      </c>
      <c r="F1814" s="4">
        <v>4743</v>
      </c>
      <c r="G1814" s="4">
        <v>47430</v>
      </c>
      <c r="H1814" s="4">
        <v>182971</v>
      </c>
      <c r="I1814" s="4"/>
      <c r="J1814" s="4"/>
      <c r="K1814" s="4"/>
      <c r="L1814" s="6">
        <f t="shared" si="28"/>
        <v>0.259221406671003</v>
      </c>
      <c r="M1814" s="4"/>
    </row>
    <row r="1815" spans="1:13">
      <c r="A1815" s="3">
        <v>45703</v>
      </c>
      <c r="B1815" s="4" t="s">
        <v>5</v>
      </c>
      <c r="C1815" s="4" t="s">
        <v>24</v>
      </c>
      <c r="D1815" s="4" t="s">
        <v>33</v>
      </c>
      <c r="E1815" s="4">
        <v>2</v>
      </c>
      <c r="F1815" s="4">
        <v>39042</v>
      </c>
      <c r="G1815" s="4">
        <v>78084</v>
      </c>
      <c r="H1815" s="4">
        <v>65513</v>
      </c>
      <c r="I1815" s="4"/>
      <c r="J1815" s="4"/>
      <c r="K1815" s="4"/>
      <c r="L1815" s="6">
        <f t="shared" si="28"/>
        <v>1.19188557996123</v>
      </c>
      <c r="M1815" s="4"/>
    </row>
    <row r="1816" spans="1:13">
      <c r="A1816" s="3">
        <v>45725</v>
      </c>
      <c r="B1816" s="4" t="s">
        <v>8</v>
      </c>
      <c r="C1816" s="4" t="s">
        <v>24</v>
      </c>
      <c r="D1816" s="4" t="s">
        <v>23</v>
      </c>
      <c r="E1816" s="4">
        <v>7</v>
      </c>
      <c r="F1816" s="4">
        <v>11181</v>
      </c>
      <c r="G1816" s="4">
        <v>78267</v>
      </c>
      <c r="H1816" s="4">
        <v>65787</v>
      </c>
      <c r="I1816" s="4"/>
      <c r="J1816" s="4"/>
      <c r="K1816" s="4"/>
      <c r="L1816" s="6">
        <f t="shared" si="28"/>
        <v>1.18970313283779</v>
      </c>
      <c r="M1816" s="4"/>
    </row>
    <row r="1817" spans="1:13">
      <c r="A1817" s="3">
        <v>45681</v>
      </c>
      <c r="B1817" s="4" t="s">
        <v>3</v>
      </c>
      <c r="C1817" s="4" t="s">
        <v>22</v>
      </c>
      <c r="D1817" s="4" t="s">
        <v>30</v>
      </c>
      <c r="E1817" s="4">
        <v>8</v>
      </c>
      <c r="F1817" s="4">
        <v>31160</v>
      </c>
      <c r="G1817" s="4">
        <v>249280</v>
      </c>
      <c r="H1817" s="4">
        <v>168068</v>
      </c>
      <c r="I1817" s="4"/>
      <c r="J1817" s="4"/>
      <c r="K1817" s="4"/>
      <c r="L1817" s="6">
        <f t="shared" si="28"/>
        <v>1.48320917723778</v>
      </c>
      <c r="M1817" s="4"/>
    </row>
    <row r="1818" spans="1:13">
      <c r="A1818" s="3">
        <v>45835</v>
      </c>
      <c r="B1818" s="4" t="s">
        <v>8</v>
      </c>
      <c r="C1818" s="4" t="s">
        <v>26</v>
      </c>
      <c r="D1818" s="4" t="s">
        <v>31</v>
      </c>
      <c r="E1818" s="4">
        <v>5</v>
      </c>
      <c r="F1818" s="4">
        <v>1496</v>
      </c>
      <c r="G1818" s="4">
        <v>7480</v>
      </c>
      <c r="H1818" s="4">
        <v>177501</v>
      </c>
      <c r="I1818" s="4"/>
      <c r="J1818" s="4"/>
      <c r="K1818" s="4"/>
      <c r="L1818" s="6">
        <f t="shared" si="28"/>
        <v>0.0421406076585484</v>
      </c>
      <c r="M1818" s="4"/>
    </row>
    <row r="1819" spans="1:13">
      <c r="A1819" s="3">
        <v>45781</v>
      </c>
      <c r="B1819" s="4" t="s">
        <v>2</v>
      </c>
      <c r="C1819" s="4" t="s">
        <v>28</v>
      </c>
      <c r="D1819" s="4" t="s">
        <v>33</v>
      </c>
      <c r="E1819" s="4">
        <v>9</v>
      </c>
      <c r="F1819" s="4">
        <v>1352</v>
      </c>
      <c r="G1819" s="4">
        <v>12168</v>
      </c>
      <c r="H1819" s="4">
        <v>152094</v>
      </c>
      <c r="I1819" s="4"/>
      <c r="J1819" s="4"/>
      <c r="K1819" s="4"/>
      <c r="L1819" s="6">
        <f t="shared" si="28"/>
        <v>0.0800031559430352</v>
      </c>
      <c r="M1819" s="4"/>
    </row>
    <row r="1820" spans="1:13">
      <c r="A1820" s="3">
        <v>45811</v>
      </c>
      <c r="B1820" s="4" t="s">
        <v>2</v>
      </c>
      <c r="C1820" s="4" t="s">
        <v>24</v>
      </c>
      <c r="D1820" s="4" t="s">
        <v>33</v>
      </c>
      <c r="E1820" s="4">
        <v>2</v>
      </c>
      <c r="F1820" s="4">
        <v>10541</v>
      </c>
      <c r="G1820" s="4">
        <v>21082</v>
      </c>
      <c r="H1820" s="4">
        <v>107097</v>
      </c>
      <c r="I1820" s="4"/>
      <c r="J1820" s="4"/>
      <c r="K1820" s="4"/>
      <c r="L1820" s="6">
        <f t="shared" si="28"/>
        <v>0.196849584955694</v>
      </c>
      <c r="M1820" s="4"/>
    </row>
    <row r="1821" spans="1:13">
      <c r="A1821" s="3">
        <v>45687</v>
      </c>
      <c r="B1821" s="4" t="s">
        <v>7</v>
      </c>
      <c r="C1821" s="4" t="s">
        <v>24</v>
      </c>
      <c r="D1821" s="4" t="s">
        <v>23</v>
      </c>
      <c r="E1821" s="4">
        <v>9</v>
      </c>
      <c r="F1821" s="4">
        <v>46264</v>
      </c>
      <c r="G1821" s="4">
        <v>416376</v>
      </c>
      <c r="H1821" s="4">
        <v>125713</v>
      </c>
      <c r="I1821" s="4"/>
      <c r="J1821" s="4"/>
      <c r="K1821" s="4"/>
      <c r="L1821" s="6">
        <f t="shared" si="28"/>
        <v>3.31211569209231</v>
      </c>
      <c r="M1821" s="4"/>
    </row>
    <row r="1822" spans="1:13">
      <c r="A1822" s="3">
        <v>45698</v>
      </c>
      <c r="B1822" s="4" t="s">
        <v>6</v>
      </c>
      <c r="C1822" s="4" t="s">
        <v>22</v>
      </c>
      <c r="D1822" s="4" t="s">
        <v>27</v>
      </c>
      <c r="E1822" s="4">
        <v>10</v>
      </c>
      <c r="F1822" s="4">
        <v>17382</v>
      </c>
      <c r="G1822" s="4">
        <v>173820</v>
      </c>
      <c r="H1822" s="4">
        <v>10576</v>
      </c>
      <c r="I1822" s="4"/>
      <c r="J1822" s="4"/>
      <c r="K1822" s="4"/>
      <c r="L1822" s="6">
        <f t="shared" si="28"/>
        <v>16.4353252647504</v>
      </c>
      <c r="M1822" s="4"/>
    </row>
    <row r="1823" spans="1:13">
      <c r="A1823" s="3">
        <v>45701</v>
      </c>
      <c r="B1823" s="4" t="s">
        <v>2</v>
      </c>
      <c r="C1823" s="4" t="s">
        <v>26</v>
      </c>
      <c r="D1823" s="4" t="s">
        <v>27</v>
      </c>
      <c r="E1823" s="4">
        <v>8</v>
      </c>
      <c r="F1823" s="4">
        <v>44989</v>
      </c>
      <c r="G1823" s="4">
        <v>359912</v>
      </c>
      <c r="H1823" s="4">
        <v>165848</v>
      </c>
      <c r="I1823" s="4"/>
      <c r="J1823" s="4"/>
      <c r="K1823" s="4"/>
      <c r="L1823" s="6">
        <f t="shared" si="28"/>
        <v>2.17013168684579</v>
      </c>
      <c r="M1823" s="4"/>
    </row>
    <row r="1824" spans="1:13">
      <c r="A1824" s="3">
        <v>45770</v>
      </c>
      <c r="B1824" s="4" t="s">
        <v>4</v>
      </c>
      <c r="C1824" s="4" t="s">
        <v>28</v>
      </c>
      <c r="D1824" s="4" t="s">
        <v>30</v>
      </c>
      <c r="E1824" s="4">
        <v>4</v>
      </c>
      <c r="F1824" s="4">
        <v>38719</v>
      </c>
      <c r="G1824" s="4">
        <v>154876</v>
      </c>
      <c r="H1824" s="4">
        <v>141567</v>
      </c>
      <c r="I1824" s="4"/>
      <c r="J1824" s="4"/>
      <c r="K1824" s="4"/>
      <c r="L1824" s="6">
        <f t="shared" si="28"/>
        <v>1.09401202257588</v>
      </c>
      <c r="M1824" s="4"/>
    </row>
    <row r="1825" spans="1:13">
      <c r="A1825" s="3">
        <v>45768</v>
      </c>
      <c r="B1825" s="4" t="s">
        <v>2</v>
      </c>
      <c r="C1825" s="4" t="s">
        <v>22</v>
      </c>
      <c r="D1825" s="4" t="s">
        <v>32</v>
      </c>
      <c r="E1825" s="4">
        <v>3</v>
      </c>
      <c r="F1825" s="4">
        <v>19891</v>
      </c>
      <c r="G1825" s="4">
        <v>59673</v>
      </c>
      <c r="H1825" s="4">
        <v>80919</v>
      </c>
      <c r="I1825" s="4"/>
      <c r="J1825" s="4"/>
      <c r="K1825" s="4"/>
      <c r="L1825" s="6">
        <f t="shared" si="28"/>
        <v>0.737441144848552</v>
      </c>
      <c r="M1825" s="4"/>
    </row>
    <row r="1826" spans="1:13">
      <c r="A1826" s="3">
        <v>45806</v>
      </c>
      <c r="B1826" s="4" t="s">
        <v>7</v>
      </c>
      <c r="C1826" s="4" t="s">
        <v>24</v>
      </c>
      <c r="D1826" s="4" t="s">
        <v>32</v>
      </c>
      <c r="E1826" s="4">
        <v>5</v>
      </c>
      <c r="F1826" s="4">
        <v>17862</v>
      </c>
      <c r="G1826" s="4">
        <v>89310</v>
      </c>
      <c r="H1826" s="4">
        <v>124210</v>
      </c>
      <c r="I1826" s="4"/>
      <c r="J1826" s="4"/>
      <c r="K1826" s="4"/>
      <c r="L1826" s="6">
        <f t="shared" si="28"/>
        <v>0.71902423315353</v>
      </c>
      <c r="M1826" s="4"/>
    </row>
    <row r="1827" spans="1:13">
      <c r="A1827" s="3">
        <v>45681</v>
      </c>
      <c r="B1827" s="4" t="s">
        <v>2</v>
      </c>
      <c r="C1827" s="4" t="s">
        <v>26</v>
      </c>
      <c r="D1827" s="4" t="s">
        <v>27</v>
      </c>
      <c r="E1827" s="4">
        <v>4</v>
      </c>
      <c r="F1827" s="4">
        <v>10933</v>
      </c>
      <c r="G1827" s="4">
        <v>43732</v>
      </c>
      <c r="H1827" s="4">
        <v>73262</v>
      </c>
      <c r="I1827" s="4"/>
      <c r="J1827" s="4"/>
      <c r="K1827" s="4"/>
      <c r="L1827" s="6">
        <f t="shared" si="28"/>
        <v>0.596926100843548</v>
      </c>
      <c r="M1827" s="4"/>
    </row>
    <row r="1828" spans="1:13">
      <c r="A1828" s="3">
        <v>45723</v>
      </c>
      <c r="B1828" s="4" t="s">
        <v>5</v>
      </c>
      <c r="C1828" s="4" t="s">
        <v>24</v>
      </c>
      <c r="D1828" s="4" t="s">
        <v>31</v>
      </c>
      <c r="E1828" s="4">
        <v>4</v>
      </c>
      <c r="F1828" s="4">
        <v>41363</v>
      </c>
      <c r="G1828" s="4">
        <v>165452</v>
      </c>
      <c r="H1828" s="4">
        <v>174629</v>
      </c>
      <c r="I1828" s="4"/>
      <c r="J1828" s="4"/>
      <c r="K1828" s="4"/>
      <c r="L1828" s="6">
        <f t="shared" si="28"/>
        <v>0.947448591012947</v>
      </c>
      <c r="M1828" s="4"/>
    </row>
    <row r="1829" spans="1:13">
      <c r="A1829" s="3">
        <v>45798</v>
      </c>
      <c r="B1829" s="4" t="s">
        <v>5</v>
      </c>
      <c r="C1829" s="4" t="s">
        <v>26</v>
      </c>
      <c r="D1829" s="4" t="s">
        <v>25</v>
      </c>
      <c r="E1829" s="4">
        <v>8</v>
      </c>
      <c r="F1829" s="4">
        <v>37369</v>
      </c>
      <c r="G1829" s="4">
        <v>298952</v>
      </c>
      <c r="H1829" s="4">
        <v>137080</v>
      </c>
      <c r="I1829" s="4"/>
      <c r="J1829" s="4"/>
      <c r="K1829" s="4"/>
      <c r="L1829" s="6">
        <f t="shared" si="28"/>
        <v>2.18085789320105</v>
      </c>
      <c r="M1829" s="4"/>
    </row>
    <row r="1830" spans="1:13">
      <c r="A1830" s="3">
        <v>45746</v>
      </c>
      <c r="B1830" s="4" t="s">
        <v>3</v>
      </c>
      <c r="C1830" s="4" t="s">
        <v>26</v>
      </c>
      <c r="D1830" s="4" t="s">
        <v>33</v>
      </c>
      <c r="E1830" s="4">
        <v>9</v>
      </c>
      <c r="F1830" s="4">
        <v>19414</v>
      </c>
      <c r="G1830" s="4">
        <v>174726</v>
      </c>
      <c r="H1830" s="4">
        <v>52509</v>
      </c>
      <c r="I1830" s="4"/>
      <c r="J1830" s="4"/>
      <c r="K1830" s="4"/>
      <c r="L1830" s="6">
        <f t="shared" si="28"/>
        <v>3.32754384962578</v>
      </c>
      <c r="M1830" s="4"/>
    </row>
    <row r="1831" spans="1:13">
      <c r="A1831" s="3">
        <v>45683</v>
      </c>
      <c r="B1831" s="4" t="s">
        <v>2</v>
      </c>
      <c r="C1831" s="4" t="s">
        <v>22</v>
      </c>
      <c r="D1831" s="4" t="s">
        <v>33</v>
      </c>
      <c r="E1831" s="4">
        <v>1</v>
      </c>
      <c r="F1831" s="4">
        <v>10422</v>
      </c>
      <c r="G1831" s="4">
        <v>10422</v>
      </c>
      <c r="H1831" s="4">
        <v>173874</v>
      </c>
      <c r="I1831" s="4"/>
      <c r="J1831" s="4"/>
      <c r="K1831" s="4"/>
      <c r="L1831" s="6">
        <f t="shared" si="28"/>
        <v>0.0599399565202388</v>
      </c>
      <c r="M1831" s="4"/>
    </row>
    <row r="1832" spans="1:13">
      <c r="A1832" s="3">
        <v>45791</v>
      </c>
      <c r="B1832" s="4" t="s">
        <v>2</v>
      </c>
      <c r="C1832" s="4" t="s">
        <v>28</v>
      </c>
      <c r="D1832" s="4" t="s">
        <v>33</v>
      </c>
      <c r="E1832" s="4">
        <v>1</v>
      </c>
      <c r="F1832" s="4">
        <v>6671</v>
      </c>
      <c r="G1832" s="4">
        <v>6671</v>
      </c>
      <c r="H1832" s="4">
        <v>99044</v>
      </c>
      <c r="I1832" s="4"/>
      <c r="J1832" s="4"/>
      <c r="K1832" s="4"/>
      <c r="L1832" s="6">
        <f t="shared" si="28"/>
        <v>0.0673539033156981</v>
      </c>
      <c r="M1832" s="4"/>
    </row>
    <row r="1833" spans="1:13">
      <c r="A1833" s="3">
        <v>45786</v>
      </c>
      <c r="B1833" s="4" t="s">
        <v>5</v>
      </c>
      <c r="C1833" s="4" t="s">
        <v>24</v>
      </c>
      <c r="D1833" s="4" t="s">
        <v>31</v>
      </c>
      <c r="E1833" s="4">
        <v>5</v>
      </c>
      <c r="F1833" s="4">
        <v>26475</v>
      </c>
      <c r="G1833" s="4">
        <v>132375</v>
      </c>
      <c r="H1833" s="4">
        <v>37482</v>
      </c>
      <c r="I1833" s="4"/>
      <c r="J1833" s="4"/>
      <c r="K1833" s="4"/>
      <c r="L1833" s="6">
        <f t="shared" si="28"/>
        <v>3.53169521370258</v>
      </c>
      <c r="M1833" s="4"/>
    </row>
    <row r="1834" spans="1:13">
      <c r="A1834" s="3">
        <v>45665</v>
      </c>
      <c r="B1834" s="4" t="s">
        <v>6</v>
      </c>
      <c r="C1834" s="4" t="s">
        <v>24</v>
      </c>
      <c r="D1834" s="4" t="s">
        <v>25</v>
      </c>
      <c r="E1834" s="4">
        <v>5</v>
      </c>
      <c r="F1834" s="4">
        <v>47438</v>
      </c>
      <c r="G1834" s="4">
        <v>237190</v>
      </c>
      <c r="H1834" s="4">
        <v>52015</v>
      </c>
      <c r="I1834" s="4"/>
      <c r="J1834" s="4"/>
      <c r="K1834" s="4"/>
      <c r="L1834" s="6">
        <f t="shared" si="28"/>
        <v>4.56003076035759</v>
      </c>
      <c r="M1834" s="4"/>
    </row>
    <row r="1835" spans="1:13">
      <c r="A1835" s="3">
        <v>45703</v>
      </c>
      <c r="B1835" s="4" t="s">
        <v>2</v>
      </c>
      <c r="C1835" s="4" t="s">
        <v>24</v>
      </c>
      <c r="D1835" s="4" t="s">
        <v>30</v>
      </c>
      <c r="E1835" s="4">
        <v>8</v>
      </c>
      <c r="F1835" s="4">
        <v>41485</v>
      </c>
      <c r="G1835" s="4">
        <v>331880</v>
      </c>
      <c r="H1835" s="4">
        <v>167966</v>
      </c>
      <c r="I1835" s="4"/>
      <c r="J1835" s="4"/>
      <c r="K1835" s="4"/>
      <c r="L1835" s="6">
        <f t="shared" si="28"/>
        <v>1.97587607015706</v>
      </c>
      <c r="M1835" s="4"/>
    </row>
    <row r="1836" spans="1:13">
      <c r="A1836" s="3">
        <v>45827</v>
      </c>
      <c r="B1836" s="4" t="s">
        <v>8</v>
      </c>
      <c r="C1836" s="4" t="s">
        <v>24</v>
      </c>
      <c r="D1836" s="4" t="s">
        <v>27</v>
      </c>
      <c r="E1836" s="4">
        <v>3</v>
      </c>
      <c r="F1836" s="4">
        <v>31903</v>
      </c>
      <c r="G1836" s="4">
        <v>95709</v>
      </c>
      <c r="H1836" s="4">
        <v>195221</v>
      </c>
      <c r="I1836" s="4"/>
      <c r="J1836" s="4"/>
      <c r="K1836" s="4"/>
      <c r="L1836" s="6">
        <f t="shared" si="28"/>
        <v>0.490259756890908</v>
      </c>
      <c r="M1836" s="4"/>
    </row>
    <row r="1837" spans="1:13">
      <c r="A1837" s="3">
        <v>45762</v>
      </c>
      <c r="B1837" s="4" t="s">
        <v>5</v>
      </c>
      <c r="C1837" s="4" t="s">
        <v>22</v>
      </c>
      <c r="D1837" s="4" t="s">
        <v>33</v>
      </c>
      <c r="E1837" s="4">
        <v>6</v>
      </c>
      <c r="F1837" s="4">
        <v>17276</v>
      </c>
      <c r="G1837" s="4">
        <v>103656</v>
      </c>
      <c r="H1837" s="4">
        <v>42666</v>
      </c>
      <c r="I1837" s="4"/>
      <c r="J1837" s="4"/>
      <c r="K1837" s="4"/>
      <c r="L1837" s="6">
        <f t="shared" si="28"/>
        <v>2.42947546055407</v>
      </c>
      <c r="M1837" s="4"/>
    </row>
    <row r="1838" spans="1:13">
      <c r="A1838" s="3">
        <v>45690</v>
      </c>
      <c r="B1838" s="4" t="s">
        <v>3</v>
      </c>
      <c r="C1838" s="4" t="s">
        <v>24</v>
      </c>
      <c r="D1838" s="4" t="s">
        <v>27</v>
      </c>
      <c r="E1838" s="4">
        <v>10</v>
      </c>
      <c r="F1838" s="4">
        <v>8367</v>
      </c>
      <c r="G1838" s="4">
        <v>83670</v>
      </c>
      <c r="H1838" s="4">
        <v>153130</v>
      </c>
      <c r="I1838" s="4"/>
      <c r="J1838" s="4"/>
      <c r="K1838" s="4"/>
      <c r="L1838" s="6">
        <f t="shared" si="28"/>
        <v>0.54639848494743</v>
      </c>
      <c r="M1838" s="4"/>
    </row>
    <row r="1839" spans="1:13">
      <c r="A1839" s="3">
        <v>45751</v>
      </c>
      <c r="B1839" s="4" t="s">
        <v>3</v>
      </c>
      <c r="C1839" s="4" t="s">
        <v>24</v>
      </c>
      <c r="D1839" s="4" t="s">
        <v>32</v>
      </c>
      <c r="E1839" s="4">
        <v>5</v>
      </c>
      <c r="F1839" s="4">
        <v>40654</v>
      </c>
      <c r="G1839" s="4">
        <v>203270</v>
      </c>
      <c r="H1839" s="4">
        <v>107570</v>
      </c>
      <c r="I1839" s="4"/>
      <c r="J1839" s="4"/>
      <c r="K1839" s="4"/>
      <c r="L1839" s="6">
        <f t="shared" si="28"/>
        <v>1.88965324904713</v>
      </c>
      <c r="M1839" s="4"/>
    </row>
    <row r="1840" spans="1:13">
      <c r="A1840" s="3">
        <v>45757</v>
      </c>
      <c r="B1840" s="4" t="s">
        <v>5</v>
      </c>
      <c r="C1840" s="4" t="s">
        <v>26</v>
      </c>
      <c r="D1840" s="4" t="s">
        <v>32</v>
      </c>
      <c r="E1840" s="4">
        <v>8</v>
      </c>
      <c r="F1840" s="4">
        <v>27149</v>
      </c>
      <c r="G1840" s="4">
        <v>217192</v>
      </c>
      <c r="H1840" s="4">
        <v>78764</v>
      </c>
      <c r="I1840" s="4"/>
      <c r="J1840" s="4"/>
      <c r="K1840" s="4"/>
      <c r="L1840" s="6">
        <f t="shared" si="28"/>
        <v>2.75750342796201</v>
      </c>
      <c r="M1840" s="4"/>
    </row>
    <row r="1841" spans="1:13">
      <c r="A1841" s="3">
        <v>45836</v>
      </c>
      <c r="B1841" s="4" t="s">
        <v>7</v>
      </c>
      <c r="C1841" s="4" t="s">
        <v>26</v>
      </c>
      <c r="D1841" s="4" t="s">
        <v>25</v>
      </c>
      <c r="E1841" s="4">
        <v>1</v>
      </c>
      <c r="F1841" s="4">
        <v>8677</v>
      </c>
      <c r="G1841" s="4">
        <v>8677</v>
      </c>
      <c r="H1841" s="4">
        <v>191850</v>
      </c>
      <c r="I1841" s="4"/>
      <c r="J1841" s="4"/>
      <c r="K1841" s="4"/>
      <c r="L1841" s="6">
        <f t="shared" si="28"/>
        <v>0.0452280427417253</v>
      </c>
      <c r="M1841" s="4"/>
    </row>
    <row r="1842" spans="1:13">
      <c r="A1842" s="3">
        <v>45823</v>
      </c>
      <c r="B1842" s="4" t="s">
        <v>7</v>
      </c>
      <c r="C1842" s="4" t="s">
        <v>28</v>
      </c>
      <c r="D1842" s="4" t="s">
        <v>32</v>
      </c>
      <c r="E1842" s="4">
        <v>10</v>
      </c>
      <c r="F1842" s="4">
        <v>49232</v>
      </c>
      <c r="G1842" s="4">
        <v>492320</v>
      </c>
      <c r="H1842" s="4">
        <v>68228</v>
      </c>
      <c r="I1842" s="4"/>
      <c r="J1842" s="4"/>
      <c r="K1842" s="4"/>
      <c r="L1842" s="6">
        <f t="shared" si="28"/>
        <v>7.21580582751949</v>
      </c>
      <c r="M1842" s="4"/>
    </row>
    <row r="1843" spans="1:13">
      <c r="A1843" s="3">
        <v>45808</v>
      </c>
      <c r="B1843" s="4" t="s">
        <v>4</v>
      </c>
      <c r="C1843" s="4" t="s">
        <v>28</v>
      </c>
      <c r="D1843" s="4" t="s">
        <v>32</v>
      </c>
      <c r="E1843" s="4">
        <v>7</v>
      </c>
      <c r="F1843" s="4">
        <v>25294</v>
      </c>
      <c r="G1843" s="4">
        <v>177058</v>
      </c>
      <c r="H1843" s="4">
        <v>197345</v>
      </c>
      <c r="I1843" s="4"/>
      <c r="J1843" s="4"/>
      <c r="K1843" s="4"/>
      <c r="L1843" s="6">
        <f t="shared" si="28"/>
        <v>0.897200334439687</v>
      </c>
      <c r="M1843" s="4"/>
    </row>
    <row r="1844" spans="1:13">
      <c r="A1844" s="3">
        <v>45722</v>
      </c>
      <c r="B1844" s="4" t="s">
        <v>6</v>
      </c>
      <c r="C1844" s="4" t="s">
        <v>28</v>
      </c>
      <c r="D1844" s="4" t="s">
        <v>25</v>
      </c>
      <c r="E1844" s="4">
        <v>1</v>
      </c>
      <c r="F1844" s="4">
        <v>23192</v>
      </c>
      <c r="G1844" s="4">
        <v>23192</v>
      </c>
      <c r="H1844" s="4">
        <v>56202</v>
      </c>
      <c r="I1844" s="4"/>
      <c r="J1844" s="4"/>
      <c r="K1844" s="4"/>
      <c r="L1844" s="6">
        <f t="shared" si="28"/>
        <v>0.412654353937582</v>
      </c>
      <c r="M1844" s="4"/>
    </row>
    <row r="1845" spans="1:13">
      <c r="A1845" s="3">
        <v>45815</v>
      </c>
      <c r="B1845" s="4" t="s">
        <v>7</v>
      </c>
      <c r="C1845" s="4" t="s">
        <v>22</v>
      </c>
      <c r="D1845" s="4" t="s">
        <v>33</v>
      </c>
      <c r="E1845" s="4">
        <v>2</v>
      </c>
      <c r="F1845" s="4">
        <v>43239</v>
      </c>
      <c r="G1845" s="4">
        <v>86478</v>
      </c>
      <c r="H1845" s="4">
        <v>101708</v>
      </c>
      <c r="I1845" s="4"/>
      <c r="J1845" s="4"/>
      <c r="K1845" s="4"/>
      <c r="L1845" s="6">
        <f t="shared" si="28"/>
        <v>0.850257600188776</v>
      </c>
      <c r="M1845" s="4"/>
    </row>
    <row r="1846" spans="1:13">
      <c r="A1846" s="3">
        <v>45798</v>
      </c>
      <c r="B1846" s="4" t="s">
        <v>4</v>
      </c>
      <c r="C1846" s="4" t="s">
        <v>24</v>
      </c>
      <c r="D1846" s="4" t="s">
        <v>32</v>
      </c>
      <c r="E1846" s="4">
        <v>6</v>
      </c>
      <c r="F1846" s="4">
        <v>15739</v>
      </c>
      <c r="G1846" s="4">
        <v>94434</v>
      </c>
      <c r="H1846" s="4">
        <v>114995</v>
      </c>
      <c r="I1846" s="4"/>
      <c r="J1846" s="4"/>
      <c r="K1846" s="4"/>
      <c r="L1846" s="6">
        <f t="shared" si="28"/>
        <v>0.821200921779208</v>
      </c>
      <c r="M1846" s="4"/>
    </row>
    <row r="1847" spans="1:13">
      <c r="A1847" s="3">
        <v>45828</v>
      </c>
      <c r="B1847" s="4" t="s">
        <v>5</v>
      </c>
      <c r="C1847" s="4" t="s">
        <v>24</v>
      </c>
      <c r="D1847" s="4" t="s">
        <v>23</v>
      </c>
      <c r="E1847" s="4">
        <v>10</v>
      </c>
      <c r="F1847" s="4">
        <v>45646</v>
      </c>
      <c r="G1847" s="4">
        <v>456460</v>
      </c>
      <c r="H1847" s="4">
        <v>164059</v>
      </c>
      <c r="I1847" s="4"/>
      <c r="J1847" s="4"/>
      <c r="K1847" s="4"/>
      <c r="L1847" s="6">
        <f t="shared" si="28"/>
        <v>2.78229173650943</v>
      </c>
      <c r="M1847" s="4"/>
    </row>
    <row r="1848" spans="1:13">
      <c r="A1848" s="3">
        <v>45738</v>
      </c>
      <c r="B1848" s="4" t="s">
        <v>8</v>
      </c>
      <c r="C1848" s="4" t="s">
        <v>22</v>
      </c>
      <c r="D1848" s="4" t="s">
        <v>30</v>
      </c>
      <c r="E1848" s="4">
        <v>1</v>
      </c>
      <c r="F1848" s="4">
        <v>22245</v>
      </c>
      <c r="G1848" s="4">
        <v>22245</v>
      </c>
      <c r="H1848" s="4">
        <v>77054</v>
      </c>
      <c r="I1848" s="4"/>
      <c r="J1848" s="4"/>
      <c r="K1848" s="4"/>
      <c r="L1848" s="6">
        <f t="shared" si="28"/>
        <v>0.288693643418901</v>
      </c>
      <c r="M1848" s="4"/>
    </row>
    <row r="1849" spans="1:13">
      <c r="A1849" s="3">
        <v>45777</v>
      </c>
      <c r="B1849" s="4" t="s">
        <v>8</v>
      </c>
      <c r="C1849" s="4" t="s">
        <v>24</v>
      </c>
      <c r="D1849" s="4" t="s">
        <v>31</v>
      </c>
      <c r="E1849" s="4">
        <v>10</v>
      </c>
      <c r="F1849" s="4">
        <v>48174</v>
      </c>
      <c r="G1849" s="4">
        <v>481740</v>
      </c>
      <c r="H1849" s="4">
        <v>118489</v>
      </c>
      <c r="I1849" s="4"/>
      <c r="J1849" s="4"/>
      <c r="K1849" s="4"/>
      <c r="L1849" s="6">
        <f t="shared" si="28"/>
        <v>4.06569386187747</v>
      </c>
      <c r="M1849" s="4"/>
    </row>
    <row r="1850" spans="1:13">
      <c r="A1850" s="3">
        <v>45804</v>
      </c>
      <c r="B1850" s="4" t="s">
        <v>2</v>
      </c>
      <c r="C1850" s="4" t="s">
        <v>24</v>
      </c>
      <c r="D1850" s="4" t="s">
        <v>30</v>
      </c>
      <c r="E1850" s="4">
        <v>10</v>
      </c>
      <c r="F1850" s="4">
        <v>35524</v>
      </c>
      <c r="G1850" s="4">
        <v>355240</v>
      </c>
      <c r="H1850" s="4">
        <v>15436</v>
      </c>
      <c r="I1850" s="4"/>
      <c r="J1850" s="4"/>
      <c r="K1850" s="4"/>
      <c r="L1850" s="6">
        <f t="shared" si="28"/>
        <v>23.0137341280124</v>
      </c>
      <c r="M1850" s="4"/>
    </row>
    <row r="1851" spans="1:13">
      <c r="A1851" s="3">
        <v>45684</v>
      </c>
      <c r="B1851" s="4" t="s">
        <v>2</v>
      </c>
      <c r="C1851" s="4" t="s">
        <v>24</v>
      </c>
      <c r="D1851" s="4" t="s">
        <v>31</v>
      </c>
      <c r="E1851" s="4">
        <v>6</v>
      </c>
      <c r="F1851" s="4">
        <v>22553</v>
      </c>
      <c r="G1851" s="4">
        <v>135318</v>
      </c>
      <c r="H1851" s="4">
        <v>112438</v>
      </c>
      <c r="I1851" s="4"/>
      <c r="J1851" s="4"/>
      <c r="K1851" s="4"/>
      <c r="L1851" s="6">
        <f t="shared" si="28"/>
        <v>1.20348992333553</v>
      </c>
      <c r="M1851" s="4"/>
    </row>
    <row r="1852" spans="1:13">
      <c r="A1852" s="3">
        <v>45810</v>
      </c>
      <c r="B1852" s="4" t="s">
        <v>7</v>
      </c>
      <c r="C1852" s="4" t="s">
        <v>22</v>
      </c>
      <c r="D1852" s="4" t="s">
        <v>23</v>
      </c>
      <c r="E1852" s="4">
        <v>2</v>
      </c>
      <c r="F1852" s="4">
        <v>1657</v>
      </c>
      <c r="G1852" s="4">
        <v>3314</v>
      </c>
      <c r="H1852" s="4">
        <v>13772</v>
      </c>
      <c r="I1852" s="4"/>
      <c r="J1852" s="4"/>
      <c r="K1852" s="4"/>
      <c r="L1852" s="6">
        <f t="shared" si="28"/>
        <v>0.240633168748185</v>
      </c>
      <c r="M1852" s="4"/>
    </row>
    <row r="1853" spans="1:13">
      <c r="A1853" s="3">
        <v>45744</v>
      </c>
      <c r="B1853" s="4" t="s">
        <v>5</v>
      </c>
      <c r="C1853" s="4" t="s">
        <v>22</v>
      </c>
      <c r="D1853" s="4" t="s">
        <v>32</v>
      </c>
      <c r="E1853" s="4">
        <v>10</v>
      </c>
      <c r="F1853" s="4">
        <v>690</v>
      </c>
      <c r="G1853" s="4">
        <v>6900</v>
      </c>
      <c r="H1853" s="4">
        <v>38315</v>
      </c>
      <c r="I1853" s="4"/>
      <c r="J1853" s="4"/>
      <c r="K1853" s="4"/>
      <c r="L1853" s="6">
        <f t="shared" si="28"/>
        <v>0.180086128148245</v>
      </c>
      <c r="M1853" s="4"/>
    </row>
    <row r="1854" spans="1:13">
      <c r="A1854" s="3">
        <v>45711</v>
      </c>
      <c r="B1854" s="4" t="s">
        <v>3</v>
      </c>
      <c r="C1854" s="4" t="s">
        <v>24</v>
      </c>
      <c r="D1854" s="4" t="s">
        <v>30</v>
      </c>
      <c r="E1854" s="4">
        <v>9</v>
      </c>
      <c r="F1854" s="4">
        <v>29213</v>
      </c>
      <c r="G1854" s="4">
        <v>262917</v>
      </c>
      <c r="H1854" s="4">
        <v>36409</v>
      </c>
      <c r="I1854" s="4"/>
      <c r="J1854" s="4"/>
      <c r="K1854" s="4"/>
      <c r="L1854" s="6">
        <f t="shared" si="28"/>
        <v>7.22120904172045</v>
      </c>
      <c r="M1854" s="4"/>
    </row>
    <row r="1855" spans="1:13">
      <c r="A1855" s="3">
        <v>45716</v>
      </c>
      <c r="B1855" s="4" t="s">
        <v>2</v>
      </c>
      <c r="C1855" s="4" t="s">
        <v>26</v>
      </c>
      <c r="D1855" s="4" t="s">
        <v>29</v>
      </c>
      <c r="E1855" s="4">
        <v>3</v>
      </c>
      <c r="F1855" s="4">
        <v>31263</v>
      </c>
      <c r="G1855" s="4">
        <v>93789</v>
      </c>
      <c r="H1855" s="4">
        <v>170079</v>
      </c>
      <c r="I1855" s="4"/>
      <c r="J1855" s="4"/>
      <c r="K1855" s="4"/>
      <c r="L1855" s="6">
        <f t="shared" si="28"/>
        <v>0.55144374084984</v>
      </c>
      <c r="M1855" s="4"/>
    </row>
    <row r="1856" spans="1:13">
      <c r="A1856" s="3">
        <v>45725</v>
      </c>
      <c r="B1856" s="4" t="s">
        <v>8</v>
      </c>
      <c r="C1856" s="4" t="s">
        <v>24</v>
      </c>
      <c r="D1856" s="4" t="s">
        <v>33</v>
      </c>
      <c r="E1856" s="4">
        <v>3</v>
      </c>
      <c r="F1856" s="4">
        <v>46732</v>
      </c>
      <c r="G1856" s="4">
        <v>140196</v>
      </c>
      <c r="H1856" s="4">
        <v>71176</v>
      </c>
      <c r="I1856" s="4"/>
      <c r="J1856" s="4"/>
      <c r="K1856" s="4"/>
      <c r="L1856" s="6">
        <f t="shared" si="28"/>
        <v>1.96970889063729</v>
      </c>
      <c r="M1856" s="4"/>
    </row>
    <row r="1857" spans="1:13">
      <c r="A1857" s="3">
        <v>45753</v>
      </c>
      <c r="B1857" s="4" t="s">
        <v>5</v>
      </c>
      <c r="C1857" s="4" t="s">
        <v>22</v>
      </c>
      <c r="D1857" s="4" t="s">
        <v>25</v>
      </c>
      <c r="E1857" s="4">
        <v>10</v>
      </c>
      <c r="F1857" s="4">
        <v>19954</v>
      </c>
      <c r="G1857" s="4">
        <v>199540</v>
      </c>
      <c r="H1857" s="4">
        <v>158845</v>
      </c>
      <c r="I1857" s="4"/>
      <c r="J1857" s="4"/>
      <c r="K1857" s="4"/>
      <c r="L1857" s="6">
        <f t="shared" si="28"/>
        <v>1.25619314426013</v>
      </c>
      <c r="M1857" s="4"/>
    </row>
    <row r="1858" spans="1:13">
      <c r="A1858" s="3">
        <v>45812</v>
      </c>
      <c r="B1858" s="4" t="s">
        <v>4</v>
      </c>
      <c r="C1858" s="4" t="s">
        <v>24</v>
      </c>
      <c r="D1858" s="4" t="s">
        <v>32</v>
      </c>
      <c r="E1858" s="4">
        <v>6</v>
      </c>
      <c r="F1858" s="4">
        <v>42246</v>
      </c>
      <c r="G1858" s="4">
        <v>253476</v>
      </c>
      <c r="H1858" s="4">
        <v>184777</v>
      </c>
      <c r="I1858" s="4"/>
      <c r="J1858" s="4"/>
      <c r="K1858" s="4"/>
      <c r="L1858" s="6">
        <f t="shared" si="28"/>
        <v>1.37179410857412</v>
      </c>
      <c r="M1858" s="4"/>
    </row>
    <row r="1859" spans="1:13">
      <c r="A1859" s="3">
        <v>45829</v>
      </c>
      <c r="B1859" s="4" t="s">
        <v>5</v>
      </c>
      <c r="C1859" s="4" t="s">
        <v>26</v>
      </c>
      <c r="D1859" s="4" t="s">
        <v>31</v>
      </c>
      <c r="E1859" s="4">
        <v>6</v>
      </c>
      <c r="F1859" s="4">
        <v>24597</v>
      </c>
      <c r="G1859" s="4">
        <v>147582</v>
      </c>
      <c r="H1859" s="4">
        <v>187041</v>
      </c>
      <c r="I1859" s="4"/>
      <c r="J1859" s="4"/>
      <c r="K1859" s="4"/>
      <c r="L1859" s="6">
        <f t="shared" ref="L1859:L1922" si="29">G1859/H1859</f>
        <v>0.789035559048551</v>
      </c>
      <c r="M1859" s="4"/>
    </row>
    <row r="1860" spans="1:13">
      <c r="A1860" s="3">
        <v>45824</v>
      </c>
      <c r="B1860" s="4" t="s">
        <v>7</v>
      </c>
      <c r="C1860" s="4" t="s">
        <v>28</v>
      </c>
      <c r="D1860" s="4" t="s">
        <v>25</v>
      </c>
      <c r="E1860" s="4">
        <v>5</v>
      </c>
      <c r="F1860" s="4">
        <v>35450</v>
      </c>
      <c r="G1860" s="4">
        <v>177250</v>
      </c>
      <c r="H1860" s="4">
        <v>130561</v>
      </c>
      <c r="I1860" s="4"/>
      <c r="J1860" s="4"/>
      <c r="K1860" s="4"/>
      <c r="L1860" s="6">
        <f t="shared" si="29"/>
        <v>1.35760295953616</v>
      </c>
      <c r="M1860" s="4"/>
    </row>
    <row r="1861" spans="1:13">
      <c r="A1861" s="3">
        <v>45672</v>
      </c>
      <c r="B1861" s="4" t="s">
        <v>3</v>
      </c>
      <c r="C1861" s="4" t="s">
        <v>28</v>
      </c>
      <c r="D1861" s="4" t="s">
        <v>29</v>
      </c>
      <c r="E1861" s="4">
        <v>3</v>
      </c>
      <c r="F1861" s="4">
        <v>20726</v>
      </c>
      <c r="G1861" s="4">
        <v>62178</v>
      </c>
      <c r="H1861" s="4">
        <v>144740</v>
      </c>
      <c r="I1861" s="4"/>
      <c r="J1861" s="4"/>
      <c r="K1861" s="4"/>
      <c r="L1861" s="6">
        <f t="shared" si="29"/>
        <v>0.429584081801852</v>
      </c>
      <c r="M1861" s="4"/>
    </row>
    <row r="1862" spans="1:13">
      <c r="A1862" s="3">
        <v>45835</v>
      </c>
      <c r="B1862" s="4" t="s">
        <v>5</v>
      </c>
      <c r="C1862" s="4" t="s">
        <v>28</v>
      </c>
      <c r="D1862" s="4" t="s">
        <v>25</v>
      </c>
      <c r="E1862" s="4">
        <v>2</v>
      </c>
      <c r="F1862" s="4">
        <v>39266</v>
      </c>
      <c r="G1862" s="4">
        <v>78532</v>
      </c>
      <c r="H1862" s="4">
        <v>117710</v>
      </c>
      <c r="I1862" s="4"/>
      <c r="J1862" s="4"/>
      <c r="K1862" s="4"/>
      <c r="L1862" s="6">
        <f t="shared" si="29"/>
        <v>0.667165066689321</v>
      </c>
      <c r="M1862" s="4"/>
    </row>
    <row r="1863" spans="1:13">
      <c r="A1863" s="3">
        <v>45789</v>
      </c>
      <c r="B1863" s="4" t="s">
        <v>4</v>
      </c>
      <c r="C1863" s="4" t="s">
        <v>26</v>
      </c>
      <c r="D1863" s="4" t="s">
        <v>33</v>
      </c>
      <c r="E1863" s="4">
        <v>9</v>
      </c>
      <c r="F1863" s="4">
        <v>43678</v>
      </c>
      <c r="G1863" s="4">
        <v>393102</v>
      </c>
      <c r="H1863" s="4">
        <v>88250</v>
      </c>
      <c r="I1863" s="4"/>
      <c r="J1863" s="4"/>
      <c r="K1863" s="4"/>
      <c r="L1863" s="6">
        <f t="shared" si="29"/>
        <v>4.45441359773371</v>
      </c>
      <c r="M1863" s="4"/>
    </row>
    <row r="1864" spans="1:13">
      <c r="A1864" s="3">
        <v>45782</v>
      </c>
      <c r="B1864" s="4" t="s">
        <v>7</v>
      </c>
      <c r="C1864" s="4" t="s">
        <v>28</v>
      </c>
      <c r="D1864" s="4" t="s">
        <v>31</v>
      </c>
      <c r="E1864" s="4">
        <v>4</v>
      </c>
      <c r="F1864" s="4">
        <v>27118</v>
      </c>
      <c r="G1864" s="4">
        <v>108472</v>
      </c>
      <c r="H1864" s="4">
        <v>107036</v>
      </c>
      <c r="I1864" s="4"/>
      <c r="J1864" s="4"/>
      <c r="K1864" s="4"/>
      <c r="L1864" s="6">
        <f t="shared" si="29"/>
        <v>1.01341604693748</v>
      </c>
      <c r="M1864" s="4"/>
    </row>
    <row r="1865" spans="1:13">
      <c r="A1865" s="3">
        <v>45696</v>
      </c>
      <c r="B1865" s="4" t="s">
        <v>6</v>
      </c>
      <c r="C1865" s="4" t="s">
        <v>22</v>
      </c>
      <c r="D1865" s="4" t="s">
        <v>33</v>
      </c>
      <c r="E1865" s="4">
        <v>9</v>
      </c>
      <c r="F1865" s="4">
        <v>34607</v>
      </c>
      <c r="G1865" s="4">
        <v>311463</v>
      </c>
      <c r="H1865" s="4">
        <v>96493</v>
      </c>
      <c r="I1865" s="4"/>
      <c r="J1865" s="4"/>
      <c r="K1865" s="4"/>
      <c r="L1865" s="6">
        <f t="shared" si="29"/>
        <v>3.22782999803095</v>
      </c>
      <c r="M1865" s="4"/>
    </row>
    <row r="1866" spans="1:13">
      <c r="A1866" s="3">
        <v>45719</v>
      </c>
      <c r="B1866" s="4" t="s">
        <v>3</v>
      </c>
      <c r="C1866" s="4" t="s">
        <v>28</v>
      </c>
      <c r="D1866" s="4" t="s">
        <v>31</v>
      </c>
      <c r="E1866" s="4">
        <v>6</v>
      </c>
      <c r="F1866" s="4">
        <v>40885</v>
      </c>
      <c r="G1866" s="4">
        <v>245310</v>
      </c>
      <c r="H1866" s="4">
        <v>114882</v>
      </c>
      <c r="I1866" s="4"/>
      <c r="J1866" s="4"/>
      <c r="K1866" s="4"/>
      <c r="L1866" s="6">
        <f t="shared" si="29"/>
        <v>2.13532146028098</v>
      </c>
      <c r="M1866" s="4"/>
    </row>
    <row r="1867" spans="1:13">
      <c r="A1867" s="3">
        <v>45797</v>
      </c>
      <c r="B1867" s="4" t="s">
        <v>7</v>
      </c>
      <c r="C1867" s="4" t="s">
        <v>28</v>
      </c>
      <c r="D1867" s="4" t="s">
        <v>32</v>
      </c>
      <c r="E1867" s="4">
        <v>6</v>
      </c>
      <c r="F1867" s="4">
        <v>37944</v>
      </c>
      <c r="G1867" s="4">
        <v>227664</v>
      </c>
      <c r="H1867" s="4">
        <v>18272</v>
      </c>
      <c r="I1867" s="4"/>
      <c r="J1867" s="4"/>
      <c r="K1867" s="4"/>
      <c r="L1867" s="6">
        <f t="shared" si="29"/>
        <v>12.4597197898424</v>
      </c>
      <c r="M1867" s="4"/>
    </row>
    <row r="1868" spans="1:13">
      <c r="A1868" s="3">
        <v>45680</v>
      </c>
      <c r="B1868" s="4" t="s">
        <v>6</v>
      </c>
      <c r="C1868" s="4" t="s">
        <v>24</v>
      </c>
      <c r="D1868" s="4" t="s">
        <v>31</v>
      </c>
      <c r="E1868" s="4">
        <v>5</v>
      </c>
      <c r="F1868" s="4">
        <v>43347</v>
      </c>
      <c r="G1868" s="4">
        <v>216735</v>
      </c>
      <c r="H1868" s="4">
        <v>63335</v>
      </c>
      <c r="I1868" s="4"/>
      <c r="J1868" s="4"/>
      <c r="K1868" s="4"/>
      <c r="L1868" s="6">
        <f t="shared" si="29"/>
        <v>3.42204152522302</v>
      </c>
      <c r="M1868" s="4"/>
    </row>
    <row r="1869" spans="1:13">
      <c r="A1869" s="3">
        <v>45806</v>
      </c>
      <c r="B1869" s="4" t="s">
        <v>5</v>
      </c>
      <c r="C1869" s="4" t="s">
        <v>24</v>
      </c>
      <c r="D1869" s="4" t="s">
        <v>29</v>
      </c>
      <c r="E1869" s="4">
        <v>5</v>
      </c>
      <c r="F1869" s="4">
        <v>41117</v>
      </c>
      <c r="G1869" s="4">
        <v>205585</v>
      </c>
      <c r="H1869" s="4">
        <v>178789</v>
      </c>
      <c r="I1869" s="4"/>
      <c r="J1869" s="4"/>
      <c r="K1869" s="4"/>
      <c r="L1869" s="6">
        <f t="shared" si="29"/>
        <v>1.14987499230937</v>
      </c>
      <c r="M1869" s="4"/>
    </row>
    <row r="1870" spans="1:13">
      <c r="A1870" s="3">
        <v>45698</v>
      </c>
      <c r="B1870" s="4" t="s">
        <v>7</v>
      </c>
      <c r="C1870" s="4" t="s">
        <v>26</v>
      </c>
      <c r="D1870" s="4" t="s">
        <v>31</v>
      </c>
      <c r="E1870" s="4">
        <v>4</v>
      </c>
      <c r="F1870" s="4">
        <v>18996</v>
      </c>
      <c r="G1870" s="4">
        <v>75984</v>
      </c>
      <c r="H1870" s="4">
        <v>190319</v>
      </c>
      <c r="I1870" s="4"/>
      <c r="J1870" s="4"/>
      <c r="K1870" s="4"/>
      <c r="L1870" s="6">
        <f t="shared" si="29"/>
        <v>0.399245477330167</v>
      </c>
      <c r="M1870" s="4"/>
    </row>
    <row r="1871" spans="1:13">
      <c r="A1871" s="3">
        <v>45780</v>
      </c>
      <c r="B1871" s="4" t="s">
        <v>8</v>
      </c>
      <c r="C1871" s="4" t="s">
        <v>28</v>
      </c>
      <c r="D1871" s="4" t="s">
        <v>33</v>
      </c>
      <c r="E1871" s="4">
        <v>2</v>
      </c>
      <c r="F1871" s="4">
        <v>39291</v>
      </c>
      <c r="G1871" s="4">
        <v>78582</v>
      </c>
      <c r="H1871" s="4">
        <v>153860</v>
      </c>
      <c r="I1871" s="4"/>
      <c r="J1871" s="4"/>
      <c r="K1871" s="4"/>
      <c r="L1871" s="6">
        <f t="shared" si="29"/>
        <v>0.51073703366697</v>
      </c>
      <c r="M1871" s="4"/>
    </row>
    <row r="1872" spans="1:13">
      <c r="A1872" s="3">
        <v>45780</v>
      </c>
      <c r="B1872" s="4" t="s">
        <v>4</v>
      </c>
      <c r="C1872" s="4" t="s">
        <v>22</v>
      </c>
      <c r="D1872" s="4" t="s">
        <v>29</v>
      </c>
      <c r="E1872" s="4">
        <v>3</v>
      </c>
      <c r="F1872" s="4">
        <v>6478</v>
      </c>
      <c r="G1872" s="4">
        <v>19434</v>
      </c>
      <c r="H1872" s="4">
        <v>92759</v>
      </c>
      <c r="I1872" s="4"/>
      <c r="J1872" s="4"/>
      <c r="K1872" s="4"/>
      <c r="L1872" s="6">
        <f t="shared" si="29"/>
        <v>0.209510667428497</v>
      </c>
      <c r="M1872" s="4"/>
    </row>
    <row r="1873" spans="1:13">
      <c r="A1873" s="3">
        <v>45731</v>
      </c>
      <c r="B1873" s="4" t="s">
        <v>3</v>
      </c>
      <c r="C1873" s="4" t="s">
        <v>26</v>
      </c>
      <c r="D1873" s="4" t="s">
        <v>33</v>
      </c>
      <c r="E1873" s="4">
        <v>2</v>
      </c>
      <c r="F1873" s="4">
        <v>4308</v>
      </c>
      <c r="G1873" s="4">
        <v>8616</v>
      </c>
      <c r="H1873" s="4">
        <v>89027</v>
      </c>
      <c r="I1873" s="4"/>
      <c r="J1873" s="4"/>
      <c r="K1873" s="4"/>
      <c r="L1873" s="6">
        <f t="shared" si="29"/>
        <v>0.096779628651982</v>
      </c>
      <c r="M1873" s="4"/>
    </row>
    <row r="1874" spans="1:13">
      <c r="A1874" s="3">
        <v>45737</v>
      </c>
      <c r="B1874" s="4" t="s">
        <v>6</v>
      </c>
      <c r="C1874" s="4" t="s">
        <v>24</v>
      </c>
      <c r="D1874" s="4" t="s">
        <v>27</v>
      </c>
      <c r="E1874" s="4">
        <v>6</v>
      </c>
      <c r="F1874" s="4">
        <v>10113</v>
      </c>
      <c r="G1874" s="4">
        <v>60678</v>
      </c>
      <c r="H1874" s="4">
        <v>194889</v>
      </c>
      <c r="I1874" s="4"/>
      <c r="J1874" s="4"/>
      <c r="K1874" s="4"/>
      <c r="L1874" s="6">
        <f t="shared" si="29"/>
        <v>0.311346458753444</v>
      </c>
      <c r="M1874" s="4"/>
    </row>
    <row r="1875" spans="1:13">
      <c r="A1875" s="3">
        <v>45837</v>
      </c>
      <c r="B1875" s="4" t="s">
        <v>4</v>
      </c>
      <c r="C1875" s="4" t="s">
        <v>22</v>
      </c>
      <c r="D1875" s="4" t="s">
        <v>32</v>
      </c>
      <c r="E1875" s="4">
        <v>2</v>
      </c>
      <c r="F1875" s="4">
        <v>43867</v>
      </c>
      <c r="G1875" s="4">
        <v>87734</v>
      </c>
      <c r="H1875" s="4">
        <v>168748</v>
      </c>
      <c r="I1875" s="4"/>
      <c r="J1875" s="4"/>
      <c r="K1875" s="4"/>
      <c r="L1875" s="6">
        <f t="shared" si="29"/>
        <v>0.519911347097447</v>
      </c>
      <c r="M1875" s="4"/>
    </row>
    <row r="1876" spans="1:13">
      <c r="A1876" s="3">
        <v>45834</v>
      </c>
      <c r="B1876" s="4" t="s">
        <v>5</v>
      </c>
      <c r="C1876" s="4" t="s">
        <v>26</v>
      </c>
      <c r="D1876" s="4" t="s">
        <v>32</v>
      </c>
      <c r="E1876" s="4">
        <v>5</v>
      </c>
      <c r="F1876" s="4">
        <v>3235</v>
      </c>
      <c r="G1876" s="4">
        <v>16175</v>
      </c>
      <c r="H1876" s="4">
        <v>102406</v>
      </c>
      <c r="I1876" s="4"/>
      <c r="J1876" s="4"/>
      <c r="K1876" s="4"/>
      <c r="L1876" s="6">
        <f t="shared" si="29"/>
        <v>0.157949729508037</v>
      </c>
      <c r="M1876" s="4"/>
    </row>
    <row r="1877" spans="1:13">
      <c r="A1877" s="3">
        <v>45672</v>
      </c>
      <c r="B1877" s="4" t="s">
        <v>5</v>
      </c>
      <c r="C1877" s="4" t="s">
        <v>24</v>
      </c>
      <c r="D1877" s="4" t="s">
        <v>29</v>
      </c>
      <c r="E1877" s="4">
        <v>7</v>
      </c>
      <c r="F1877" s="4">
        <v>39752</v>
      </c>
      <c r="G1877" s="4">
        <v>278264</v>
      </c>
      <c r="H1877" s="4">
        <v>127402</v>
      </c>
      <c r="I1877" s="4"/>
      <c r="J1877" s="4"/>
      <c r="K1877" s="4"/>
      <c r="L1877" s="6">
        <f t="shared" si="29"/>
        <v>2.18414153623962</v>
      </c>
      <c r="M1877" s="4"/>
    </row>
    <row r="1878" spans="1:13">
      <c r="A1878" s="3">
        <v>45835</v>
      </c>
      <c r="B1878" s="4" t="s">
        <v>3</v>
      </c>
      <c r="C1878" s="4" t="s">
        <v>22</v>
      </c>
      <c r="D1878" s="4" t="s">
        <v>27</v>
      </c>
      <c r="E1878" s="4">
        <v>8</v>
      </c>
      <c r="F1878" s="4">
        <v>43534</v>
      </c>
      <c r="G1878" s="4">
        <v>348272</v>
      </c>
      <c r="H1878" s="4">
        <v>91353</v>
      </c>
      <c r="I1878" s="4"/>
      <c r="J1878" s="4"/>
      <c r="K1878" s="4"/>
      <c r="L1878" s="6">
        <f t="shared" si="29"/>
        <v>3.81237616717568</v>
      </c>
      <c r="M1878" s="4"/>
    </row>
    <row r="1879" spans="1:13">
      <c r="A1879" s="3">
        <v>45809</v>
      </c>
      <c r="B1879" s="4" t="s">
        <v>4</v>
      </c>
      <c r="C1879" s="4" t="s">
        <v>26</v>
      </c>
      <c r="D1879" s="4" t="s">
        <v>30</v>
      </c>
      <c r="E1879" s="4">
        <v>7</v>
      </c>
      <c r="F1879" s="4">
        <v>31739</v>
      </c>
      <c r="G1879" s="4">
        <v>222173</v>
      </c>
      <c r="H1879" s="4">
        <v>65111</v>
      </c>
      <c r="I1879" s="4"/>
      <c r="J1879" s="4"/>
      <c r="K1879" s="4"/>
      <c r="L1879" s="6">
        <f t="shared" si="29"/>
        <v>3.41221913347975</v>
      </c>
      <c r="M1879" s="4"/>
    </row>
    <row r="1880" spans="1:13">
      <c r="A1880" s="3">
        <v>45786</v>
      </c>
      <c r="B1880" s="4" t="s">
        <v>4</v>
      </c>
      <c r="C1880" s="4" t="s">
        <v>22</v>
      </c>
      <c r="D1880" s="4" t="s">
        <v>32</v>
      </c>
      <c r="E1880" s="4">
        <v>9</v>
      </c>
      <c r="F1880" s="4">
        <v>31275</v>
      </c>
      <c r="G1880" s="4">
        <v>281475</v>
      </c>
      <c r="H1880" s="4">
        <v>53366</v>
      </c>
      <c r="I1880" s="4"/>
      <c r="J1880" s="4"/>
      <c r="K1880" s="4"/>
      <c r="L1880" s="6">
        <f t="shared" si="29"/>
        <v>5.27442566428063</v>
      </c>
      <c r="M1880" s="4"/>
    </row>
    <row r="1881" spans="1:13">
      <c r="A1881" s="3">
        <v>45744</v>
      </c>
      <c r="B1881" s="4" t="s">
        <v>4</v>
      </c>
      <c r="C1881" s="4" t="s">
        <v>28</v>
      </c>
      <c r="D1881" s="4" t="s">
        <v>23</v>
      </c>
      <c r="E1881" s="4">
        <v>5</v>
      </c>
      <c r="F1881" s="4">
        <v>23725</v>
      </c>
      <c r="G1881" s="4">
        <v>118625</v>
      </c>
      <c r="H1881" s="4">
        <v>126175</v>
      </c>
      <c r="I1881" s="4"/>
      <c r="J1881" s="4"/>
      <c r="K1881" s="4"/>
      <c r="L1881" s="6">
        <f t="shared" si="29"/>
        <v>0.940162472756093</v>
      </c>
      <c r="M1881" s="4"/>
    </row>
    <row r="1882" spans="1:13">
      <c r="A1882" s="3">
        <v>45719</v>
      </c>
      <c r="B1882" s="4" t="s">
        <v>5</v>
      </c>
      <c r="C1882" s="4" t="s">
        <v>24</v>
      </c>
      <c r="D1882" s="4" t="s">
        <v>32</v>
      </c>
      <c r="E1882" s="4">
        <v>8</v>
      </c>
      <c r="F1882" s="4">
        <v>6321</v>
      </c>
      <c r="G1882" s="4">
        <v>50568</v>
      </c>
      <c r="H1882" s="4">
        <v>177785</v>
      </c>
      <c r="I1882" s="4"/>
      <c r="J1882" s="4"/>
      <c r="K1882" s="4"/>
      <c r="L1882" s="6">
        <f t="shared" si="29"/>
        <v>0.284433444891301</v>
      </c>
      <c r="M1882" s="4"/>
    </row>
    <row r="1883" spans="1:13">
      <c r="A1883" s="3">
        <v>45812</v>
      </c>
      <c r="B1883" s="4" t="s">
        <v>7</v>
      </c>
      <c r="C1883" s="4" t="s">
        <v>26</v>
      </c>
      <c r="D1883" s="4" t="s">
        <v>32</v>
      </c>
      <c r="E1883" s="4">
        <v>5</v>
      </c>
      <c r="F1883" s="4">
        <v>39765</v>
      </c>
      <c r="G1883" s="4">
        <v>198825</v>
      </c>
      <c r="H1883" s="4">
        <v>15209</v>
      </c>
      <c r="I1883" s="4"/>
      <c r="J1883" s="4"/>
      <c r="K1883" s="4"/>
      <c r="L1883" s="6">
        <f t="shared" si="29"/>
        <v>13.0728516010257</v>
      </c>
      <c r="M1883" s="4"/>
    </row>
    <row r="1884" spans="1:13">
      <c r="A1884" s="3">
        <v>45830</v>
      </c>
      <c r="B1884" s="4" t="s">
        <v>8</v>
      </c>
      <c r="C1884" s="4" t="s">
        <v>24</v>
      </c>
      <c r="D1884" s="4" t="s">
        <v>27</v>
      </c>
      <c r="E1884" s="4">
        <v>3</v>
      </c>
      <c r="F1884" s="4">
        <v>45259</v>
      </c>
      <c r="G1884" s="4">
        <v>135777</v>
      </c>
      <c r="H1884" s="4">
        <v>10514</v>
      </c>
      <c r="I1884" s="4"/>
      <c r="J1884" s="4"/>
      <c r="K1884" s="4"/>
      <c r="L1884" s="6">
        <f t="shared" si="29"/>
        <v>12.913924291421</v>
      </c>
      <c r="M1884" s="4"/>
    </row>
    <row r="1885" spans="1:13">
      <c r="A1885" s="3">
        <v>45765</v>
      </c>
      <c r="B1885" s="4" t="s">
        <v>8</v>
      </c>
      <c r="C1885" s="4" t="s">
        <v>24</v>
      </c>
      <c r="D1885" s="4" t="s">
        <v>30</v>
      </c>
      <c r="E1885" s="4">
        <v>4</v>
      </c>
      <c r="F1885" s="4">
        <v>24015</v>
      </c>
      <c r="G1885" s="4">
        <v>96060</v>
      </c>
      <c r="H1885" s="4">
        <v>19538</v>
      </c>
      <c r="I1885" s="4"/>
      <c r="J1885" s="4"/>
      <c r="K1885" s="4"/>
      <c r="L1885" s="6">
        <f t="shared" si="29"/>
        <v>4.91657283242911</v>
      </c>
      <c r="M1885" s="4"/>
    </row>
    <row r="1886" spans="1:13">
      <c r="A1886" s="3">
        <v>45687</v>
      </c>
      <c r="B1886" s="4" t="s">
        <v>3</v>
      </c>
      <c r="C1886" s="4" t="s">
        <v>24</v>
      </c>
      <c r="D1886" s="4" t="s">
        <v>31</v>
      </c>
      <c r="E1886" s="4">
        <v>8</v>
      </c>
      <c r="F1886" s="4">
        <v>32112</v>
      </c>
      <c r="G1886" s="4">
        <v>256896</v>
      </c>
      <c r="H1886" s="4">
        <v>113607</v>
      </c>
      <c r="I1886" s="4"/>
      <c r="J1886" s="4"/>
      <c r="K1886" s="4"/>
      <c r="L1886" s="6">
        <f t="shared" si="29"/>
        <v>2.26126911193852</v>
      </c>
      <c r="M1886" s="4"/>
    </row>
    <row r="1887" spans="1:13">
      <c r="A1887" s="3">
        <v>45726</v>
      </c>
      <c r="B1887" s="4" t="s">
        <v>6</v>
      </c>
      <c r="C1887" s="4" t="s">
        <v>22</v>
      </c>
      <c r="D1887" s="4" t="s">
        <v>23</v>
      </c>
      <c r="E1887" s="4">
        <v>3</v>
      </c>
      <c r="F1887" s="4">
        <v>13310</v>
      </c>
      <c r="G1887" s="4">
        <v>39930</v>
      </c>
      <c r="H1887" s="4">
        <v>122200</v>
      </c>
      <c r="I1887" s="4"/>
      <c r="J1887" s="4"/>
      <c r="K1887" s="4"/>
      <c r="L1887" s="6">
        <f t="shared" si="29"/>
        <v>0.326759410801964</v>
      </c>
      <c r="M1887" s="4"/>
    </row>
    <row r="1888" spans="1:13">
      <c r="A1888" s="3">
        <v>45787</v>
      </c>
      <c r="B1888" s="4" t="s">
        <v>6</v>
      </c>
      <c r="C1888" s="4" t="s">
        <v>28</v>
      </c>
      <c r="D1888" s="4" t="s">
        <v>33</v>
      </c>
      <c r="E1888" s="4">
        <v>4</v>
      </c>
      <c r="F1888" s="4">
        <v>15244</v>
      </c>
      <c r="G1888" s="4">
        <v>60976</v>
      </c>
      <c r="H1888" s="4">
        <v>52020</v>
      </c>
      <c r="I1888" s="4"/>
      <c r="J1888" s="4"/>
      <c r="K1888" s="4"/>
      <c r="L1888" s="6">
        <f t="shared" si="29"/>
        <v>1.17216455209535</v>
      </c>
      <c r="M1888" s="4"/>
    </row>
    <row r="1889" spans="1:13">
      <c r="A1889" s="3">
        <v>45708</v>
      </c>
      <c r="B1889" s="4" t="s">
        <v>7</v>
      </c>
      <c r="C1889" s="4" t="s">
        <v>26</v>
      </c>
      <c r="D1889" s="4" t="s">
        <v>29</v>
      </c>
      <c r="E1889" s="4">
        <v>6</v>
      </c>
      <c r="F1889" s="4">
        <v>8269</v>
      </c>
      <c r="G1889" s="4">
        <v>49614</v>
      </c>
      <c r="H1889" s="4">
        <v>195336</v>
      </c>
      <c r="I1889" s="4"/>
      <c r="J1889" s="4"/>
      <c r="K1889" s="4"/>
      <c r="L1889" s="6">
        <f t="shared" si="29"/>
        <v>0.253993119547856</v>
      </c>
      <c r="M1889" s="4"/>
    </row>
    <row r="1890" spans="1:13">
      <c r="A1890" s="3">
        <v>45821</v>
      </c>
      <c r="B1890" s="4" t="s">
        <v>6</v>
      </c>
      <c r="C1890" s="4" t="s">
        <v>22</v>
      </c>
      <c r="D1890" s="4" t="s">
        <v>33</v>
      </c>
      <c r="E1890" s="4">
        <v>2</v>
      </c>
      <c r="F1890" s="4">
        <v>23144</v>
      </c>
      <c r="G1890" s="4">
        <v>46288</v>
      </c>
      <c r="H1890" s="4">
        <v>82320</v>
      </c>
      <c r="I1890" s="4"/>
      <c r="J1890" s="4"/>
      <c r="K1890" s="4"/>
      <c r="L1890" s="6">
        <f t="shared" si="29"/>
        <v>0.562293488824101</v>
      </c>
      <c r="M1890" s="4"/>
    </row>
    <row r="1891" spans="1:13">
      <c r="A1891" s="3">
        <v>45727</v>
      </c>
      <c r="B1891" s="4" t="s">
        <v>4</v>
      </c>
      <c r="C1891" s="4" t="s">
        <v>22</v>
      </c>
      <c r="D1891" s="4" t="s">
        <v>23</v>
      </c>
      <c r="E1891" s="4">
        <v>8</v>
      </c>
      <c r="F1891" s="4">
        <v>43206</v>
      </c>
      <c r="G1891" s="4">
        <v>345648</v>
      </c>
      <c r="H1891" s="4">
        <v>123237</v>
      </c>
      <c r="I1891" s="4"/>
      <c r="J1891" s="4"/>
      <c r="K1891" s="4"/>
      <c r="L1891" s="6">
        <f t="shared" si="29"/>
        <v>2.80474208232917</v>
      </c>
      <c r="M1891" s="4"/>
    </row>
    <row r="1892" spans="1:13">
      <c r="A1892" s="3">
        <v>45711</v>
      </c>
      <c r="B1892" s="4" t="s">
        <v>2</v>
      </c>
      <c r="C1892" s="4" t="s">
        <v>26</v>
      </c>
      <c r="D1892" s="4" t="s">
        <v>33</v>
      </c>
      <c r="E1892" s="4">
        <v>10</v>
      </c>
      <c r="F1892" s="4">
        <v>38606</v>
      </c>
      <c r="G1892" s="4">
        <v>386060</v>
      </c>
      <c r="H1892" s="4">
        <v>192131</v>
      </c>
      <c r="I1892" s="4"/>
      <c r="J1892" s="4"/>
      <c r="K1892" s="4"/>
      <c r="L1892" s="6">
        <f t="shared" si="29"/>
        <v>2.00935819831261</v>
      </c>
      <c r="M1892" s="4"/>
    </row>
    <row r="1893" spans="1:13">
      <c r="A1893" s="3">
        <v>45736</v>
      </c>
      <c r="B1893" s="4" t="s">
        <v>5</v>
      </c>
      <c r="C1893" s="4" t="s">
        <v>26</v>
      </c>
      <c r="D1893" s="4" t="s">
        <v>27</v>
      </c>
      <c r="E1893" s="4">
        <v>3</v>
      </c>
      <c r="F1893" s="4">
        <v>22042</v>
      </c>
      <c r="G1893" s="4">
        <v>66126</v>
      </c>
      <c r="H1893" s="4">
        <v>137120</v>
      </c>
      <c r="I1893" s="4"/>
      <c r="J1893" s="4"/>
      <c r="K1893" s="4"/>
      <c r="L1893" s="6">
        <f t="shared" si="29"/>
        <v>0.482249124854142</v>
      </c>
      <c r="M1893" s="4"/>
    </row>
    <row r="1894" spans="1:13">
      <c r="A1894" s="3">
        <v>45782</v>
      </c>
      <c r="B1894" s="4" t="s">
        <v>2</v>
      </c>
      <c r="C1894" s="4" t="s">
        <v>22</v>
      </c>
      <c r="D1894" s="4" t="s">
        <v>30</v>
      </c>
      <c r="E1894" s="4">
        <v>9</v>
      </c>
      <c r="F1894" s="4">
        <v>34103</v>
      </c>
      <c r="G1894" s="4">
        <v>306927</v>
      </c>
      <c r="H1894" s="4">
        <v>120699</v>
      </c>
      <c r="I1894" s="4"/>
      <c r="J1894" s="4"/>
      <c r="K1894" s="4"/>
      <c r="L1894" s="6">
        <f t="shared" si="29"/>
        <v>2.54291253448662</v>
      </c>
      <c r="M1894" s="4"/>
    </row>
    <row r="1895" spans="1:13">
      <c r="A1895" s="3">
        <v>45674</v>
      </c>
      <c r="B1895" s="4" t="s">
        <v>4</v>
      </c>
      <c r="C1895" s="4" t="s">
        <v>26</v>
      </c>
      <c r="D1895" s="4" t="s">
        <v>31</v>
      </c>
      <c r="E1895" s="4">
        <v>9</v>
      </c>
      <c r="F1895" s="4">
        <v>9858</v>
      </c>
      <c r="G1895" s="4">
        <v>88722</v>
      </c>
      <c r="H1895" s="4">
        <v>110553</v>
      </c>
      <c r="I1895" s="4"/>
      <c r="J1895" s="4"/>
      <c r="K1895" s="4"/>
      <c r="L1895" s="6">
        <f t="shared" si="29"/>
        <v>0.802529103687824</v>
      </c>
      <c r="M1895" s="4"/>
    </row>
    <row r="1896" spans="1:13">
      <c r="A1896" s="3">
        <v>45795</v>
      </c>
      <c r="B1896" s="4" t="s">
        <v>8</v>
      </c>
      <c r="C1896" s="4" t="s">
        <v>24</v>
      </c>
      <c r="D1896" s="4" t="s">
        <v>31</v>
      </c>
      <c r="E1896" s="4">
        <v>3</v>
      </c>
      <c r="F1896" s="4">
        <v>24339</v>
      </c>
      <c r="G1896" s="4">
        <v>73017</v>
      </c>
      <c r="H1896" s="4">
        <v>163823</v>
      </c>
      <c r="I1896" s="4"/>
      <c r="J1896" s="4"/>
      <c r="K1896" s="4"/>
      <c r="L1896" s="6">
        <f t="shared" si="29"/>
        <v>0.445706646807835</v>
      </c>
      <c r="M1896" s="4"/>
    </row>
    <row r="1897" spans="1:13">
      <c r="A1897" s="3">
        <v>45750</v>
      </c>
      <c r="B1897" s="4" t="s">
        <v>2</v>
      </c>
      <c r="C1897" s="4" t="s">
        <v>24</v>
      </c>
      <c r="D1897" s="4" t="s">
        <v>27</v>
      </c>
      <c r="E1897" s="4">
        <v>10</v>
      </c>
      <c r="F1897" s="4">
        <v>5008</v>
      </c>
      <c r="G1897" s="4">
        <v>50080</v>
      </c>
      <c r="H1897" s="4">
        <v>149099</v>
      </c>
      <c r="I1897" s="4"/>
      <c r="J1897" s="4"/>
      <c r="K1897" s="4"/>
      <c r="L1897" s="6">
        <f t="shared" si="29"/>
        <v>0.335884211161711</v>
      </c>
      <c r="M1897" s="4"/>
    </row>
    <row r="1898" spans="1:13">
      <c r="A1898" s="3">
        <v>45663</v>
      </c>
      <c r="B1898" s="4" t="s">
        <v>4</v>
      </c>
      <c r="C1898" s="4" t="s">
        <v>22</v>
      </c>
      <c r="D1898" s="4" t="s">
        <v>29</v>
      </c>
      <c r="E1898" s="4">
        <v>10</v>
      </c>
      <c r="F1898" s="4">
        <v>47442</v>
      </c>
      <c r="G1898" s="4">
        <v>474420</v>
      </c>
      <c r="H1898" s="4">
        <v>107262</v>
      </c>
      <c r="I1898" s="4"/>
      <c r="J1898" s="4"/>
      <c r="K1898" s="4"/>
      <c r="L1898" s="6">
        <f t="shared" si="29"/>
        <v>4.42300162219612</v>
      </c>
      <c r="M1898" s="4"/>
    </row>
    <row r="1899" spans="1:13">
      <c r="A1899" s="3">
        <v>45823</v>
      </c>
      <c r="B1899" s="4" t="s">
        <v>2</v>
      </c>
      <c r="C1899" s="4" t="s">
        <v>26</v>
      </c>
      <c r="D1899" s="4" t="s">
        <v>27</v>
      </c>
      <c r="E1899" s="4">
        <v>8</v>
      </c>
      <c r="F1899" s="4">
        <v>3476</v>
      </c>
      <c r="G1899" s="4">
        <v>27808</v>
      </c>
      <c r="H1899" s="4">
        <v>133790</v>
      </c>
      <c r="I1899" s="4"/>
      <c r="J1899" s="4"/>
      <c r="K1899" s="4"/>
      <c r="L1899" s="6">
        <f t="shared" si="29"/>
        <v>0.207848120188355</v>
      </c>
      <c r="M1899" s="4"/>
    </row>
    <row r="1900" spans="1:13">
      <c r="A1900" s="3">
        <v>45738</v>
      </c>
      <c r="B1900" s="4" t="s">
        <v>6</v>
      </c>
      <c r="C1900" s="4" t="s">
        <v>28</v>
      </c>
      <c r="D1900" s="4" t="s">
        <v>25</v>
      </c>
      <c r="E1900" s="4">
        <v>3</v>
      </c>
      <c r="F1900" s="4">
        <v>44740</v>
      </c>
      <c r="G1900" s="4">
        <v>134220</v>
      </c>
      <c r="H1900" s="4">
        <v>122349</v>
      </c>
      <c r="I1900" s="4"/>
      <c r="J1900" s="4"/>
      <c r="K1900" s="4"/>
      <c r="L1900" s="6">
        <f t="shared" si="29"/>
        <v>1.09702572150161</v>
      </c>
      <c r="M1900" s="4"/>
    </row>
    <row r="1901" spans="1:13">
      <c r="A1901" s="3">
        <v>45811</v>
      </c>
      <c r="B1901" s="4" t="s">
        <v>3</v>
      </c>
      <c r="C1901" s="4" t="s">
        <v>22</v>
      </c>
      <c r="D1901" s="4" t="s">
        <v>32</v>
      </c>
      <c r="E1901" s="4">
        <v>3</v>
      </c>
      <c r="F1901" s="4">
        <v>29743</v>
      </c>
      <c r="G1901" s="4">
        <v>89229</v>
      </c>
      <c r="H1901" s="4">
        <v>169884</v>
      </c>
      <c r="I1901" s="4"/>
      <c r="J1901" s="4"/>
      <c r="K1901" s="4"/>
      <c r="L1901" s="6">
        <f t="shared" si="29"/>
        <v>0.525234866143957</v>
      </c>
      <c r="M1901" s="4"/>
    </row>
    <row r="1902" spans="1:13">
      <c r="A1902" s="3">
        <v>45771</v>
      </c>
      <c r="B1902" s="4" t="s">
        <v>8</v>
      </c>
      <c r="C1902" s="4" t="s">
        <v>28</v>
      </c>
      <c r="D1902" s="4" t="s">
        <v>27</v>
      </c>
      <c r="E1902" s="4">
        <v>8</v>
      </c>
      <c r="F1902" s="4">
        <v>3080</v>
      </c>
      <c r="G1902" s="4">
        <v>24640</v>
      </c>
      <c r="H1902" s="4">
        <v>103803</v>
      </c>
      <c r="I1902" s="4"/>
      <c r="J1902" s="4"/>
      <c r="K1902" s="4"/>
      <c r="L1902" s="6">
        <f t="shared" si="29"/>
        <v>0.237372715624789</v>
      </c>
      <c r="M1902" s="4"/>
    </row>
    <row r="1903" spans="1:13">
      <c r="A1903" s="3">
        <v>45775</v>
      </c>
      <c r="B1903" s="4" t="s">
        <v>7</v>
      </c>
      <c r="C1903" s="4" t="s">
        <v>26</v>
      </c>
      <c r="D1903" s="4" t="s">
        <v>29</v>
      </c>
      <c r="E1903" s="4">
        <v>10</v>
      </c>
      <c r="F1903" s="4">
        <v>47496</v>
      </c>
      <c r="G1903" s="4">
        <v>474960</v>
      </c>
      <c r="H1903" s="4">
        <v>109576</v>
      </c>
      <c r="I1903" s="4"/>
      <c r="J1903" s="4"/>
      <c r="K1903" s="4"/>
      <c r="L1903" s="6">
        <f t="shared" si="29"/>
        <v>4.33452580857122</v>
      </c>
      <c r="M1903" s="4"/>
    </row>
    <row r="1904" spans="1:13">
      <c r="A1904" s="3">
        <v>45742</v>
      </c>
      <c r="B1904" s="4" t="s">
        <v>2</v>
      </c>
      <c r="C1904" s="4" t="s">
        <v>28</v>
      </c>
      <c r="D1904" s="4" t="s">
        <v>29</v>
      </c>
      <c r="E1904" s="4">
        <v>5</v>
      </c>
      <c r="F1904" s="4">
        <v>34923</v>
      </c>
      <c r="G1904" s="4">
        <v>174615</v>
      </c>
      <c r="H1904" s="4">
        <v>41942</v>
      </c>
      <c r="I1904" s="4"/>
      <c r="J1904" s="4"/>
      <c r="K1904" s="4"/>
      <c r="L1904" s="6">
        <f t="shared" si="29"/>
        <v>4.16324924896285</v>
      </c>
      <c r="M1904" s="4"/>
    </row>
    <row r="1905" spans="1:13">
      <c r="A1905" s="3">
        <v>45744</v>
      </c>
      <c r="B1905" s="4" t="s">
        <v>6</v>
      </c>
      <c r="C1905" s="4" t="s">
        <v>26</v>
      </c>
      <c r="D1905" s="4" t="s">
        <v>29</v>
      </c>
      <c r="E1905" s="4">
        <v>8</v>
      </c>
      <c r="F1905" s="4">
        <v>26350</v>
      </c>
      <c r="G1905" s="4">
        <v>210800</v>
      </c>
      <c r="H1905" s="4">
        <v>159834</v>
      </c>
      <c r="I1905" s="4"/>
      <c r="J1905" s="4"/>
      <c r="K1905" s="4"/>
      <c r="L1905" s="6">
        <f t="shared" si="29"/>
        <v>1.31886832588811</v>
      </c>
      <c r="M1905" s="4"/>
    </row>
    <row r="1906" spans="1:13">
      <c r="A1906" s="3">
        <v>45679</v>
      </c>
      <c r="B1906" s="4" t="s">
        <v>3</v>
      </c>
      <c r="C1906" s="4" t="s">
        <v>28</v>
      </c>
      <c r="D1906" s="4" t="s">
        <v>30</v>
      </c>
      <c r="E1906" s="4">
        <v>9</v>
      </c>
      <c r="F1906" s="4">
        <v>49337</v>
      </c>
      <c r="G1906" s="4">
        <v>444033</v>
      </c>
      <c r="H1906" s="4">
        <v>64249</v>
      </c>
      <c r="I1906" s="4"/>
      <c r="J1906" s="4"/>
      <c r="K1906" s="4"/>
      <c r="L1906" s="6">
        <f t="shared" si="29"/>
        <v>6.91112702143224</v>
      </c>
      <c r="M1906" s="4"/>
    </row>
    <row r="1907" spans="1:13">
      <c r="A1907" s="3">
        <v>45825</v>
      </c>
      <c r="B1907" s="4" t="s">
        <v>6</v>
      </c>
      <c r="C1907" s="4" t="s">
        <v>22</v>
      </c>
      <c r="D1907" s="4" t="s">
        <v>27</v>
      </c>
      <c r="E1907" s="4">
        <v>3</v>
      </c>
      <c r="F1907" s="4">
        <v>31669</v>
      </c>
      <c r="G1907" s="4">
        <v>95007</v>
      </c>
      <c r="H1907" s="4">
        <v>99939</v>
      </c>
      <c r="I1907" s="4"/>
      <c r="J1907" s="4"/>
      <c r="K1907" s="4"/>
      <c r="L1907" s="6">
        <f t="shared" si="29"/>
        <v>0.950649896436827</v>
      </c>
      <c r="M1907" s="4"/>
    </row>
    <row r="1908" spans="1:13">
      <c r="A1908" s="3">
        <v>45769</v>
      </c>
      <c r="B1908" s="4" t="s">
        <v>6</v>
      </c>
      <c r="C1908" s="4" t="s">
        <v>28</v>
      </c>
      <c r="D1908" s="4" t="s">
        <v>33</v>
      </c>
      <c r="E1908" s="4">
        <v>5</v>
      </c>
      <c r="F1908" s="4">
        <v>26290</v>
      </c>
      <c r="G1908" s="4">
        <v>131450</v>
      </c>
      <c r="H1908" s="4">
        <v>80875</v>
      </c>
      <c r="I1908" s="4"/>
      <c r="J1908" s="4"/>
      <c r="K1908" s="4"/>
      <c r="L1908" s="6">
        <f t="shared" si="29"/>
        <v>1.62534775888717</v>
      </c>
      <c r="M1908" s="4"/>
    </row>
    <row r="1909" spans="1:13">
      <c r="A1909" s="3">
        <v>45786</v>
      </c>
      <c r="B1909" s="4" t="s">
        <v>3</v>
      </c>
      <c r="C1909" s="4" t="s">
        <v>22</v>
      </c>
      <c r="D1909" s="4" t="s">
        <v>27</v>
      </c>
      <c r="E1909" s="4">
        <v>5</v>
      </c>
      <c r="F1909" s="4">
        <v>36388</v>
      </c>
      <c r="G1909" s="4">
        <v>181940</v>
      </c>
      <c r="H1909" s="4">
        <v>76785</v>
      </c>
      <c r="I1909" s="4"/>
      <c r="J1909" s="4"/>
      <c r="K1909" s="4"/>
      <c r="L1909" s="6">
        <f t="shared" si="29"/>
        <v>2.3694732044019</v>
      </c>
      <c r="M1909" s="4"/>
    </row>
    <row r="1910" spans="1:13">
      <c r="A1910" s="3">
        <v>45687</v>
      </c>
      <c r="B1910" s="4" t="s">
        <v>5</v>
      </c>
      <c r="C1910" s="4" t="s">
        <v>28</v>
      </c>
      <c r="D1910" s="4" t="s">
        <v>25</v>
      </c>
      <c r="E1910" s="4">
        <v>5</v>
      </c>
      <c r="F1910" s="4">
        <v>47349</v>
      </c>
      <c r="G1910" s="4">
        <v>236745</v>
      </c>
      <c r="H1910" s="4">
        <v>69332</v>
      </c>
      <c r="I1910" s="4"/>
      <c r="J1910" s="4"/>
      <c r="K1910" s="4"/>
      <c r="L1910" s="6">
        <f t="shared" si="29"/>
        <v>3.41465701263486</v>
      </c>
      <c r="M1910" s="4"/>
    </row>
    <row r="1911" spans="1:13">
      <c r="A1911" s="3">
        <v>45679</v>
      </c>
      <c r="B1911" s="4" t="s">
        <v>3</v>
      </c>
      <c r="C1911" s="4" t="s">
        <v>26</v>
      </c>
      <c r="D1911" s="4" t="s">
        <v>31</v>
      </c>
      <c r="E1911" s="4">
        <v>10</v>
      </c>
      <c r="F1911" s="4">
        <v>38802</v>
      </c>
      <c r="G1911" s="4">
        <v>388020</v>
      </c>
      <c r="H1911" s="4">
        <v>113095</v>
      </c>
      <c r="I1911" s="4"/>
      <c r="J1911" s="4"/>
      <c r="K1911" s="4"/>
      <c r="L1911" s="6">
        <f t="shared" si="29"/>
        <v>3.43092090720191</v>
      </c>
      <c r="M1911" s="4"/>
    </row>
    <row r="1912" spans="1:13">
      <c r="A1912" s="3">
        <v>45813</v>
      </c>
      <c r="B1912" s="4" t="s">
        <v>3</v>
      </c>
      <c r="C1912" s="4" t="s">
        <v>24</v>
      </c>
      <c r="D1912" s="4" t="s">
        <v>23</v>
      </c>
      <c r="E1912" s="4">
        <v>8</v>
      </c>
      <c r="F1912" s="4">
        <v>46173</v>
      </c>
      <c r="G1912" s="4">
        <v>369384</v>
      </c>
      <c r="H1912" s="4">
        <v>84016</v>
      </c>
      <c r="I1912" s="4"/>
      <c r="J1912" s="4"/>
      <c r="K1912" s="4"/>
      <c r="L1912" s="6">
        <f t="shared" si="29"/>
        <v>4.3965911254999</v>
      </c>
      <c r="M1912" s="4"/>
    </row>
    <row r="1913" spans="1:13">
      <c r="A1913" s="3">
        <v>45694</v>
      </c>
      <c r="B1913" s="4" t="s">
        <v>2</v>
      </c>
      <c r="C1913" s="4" t="s">
        <v>22</v>
      </c>
      <c r="D1913" s="4" t="s">
        <v>25</v>
      </c>
      <c r="E1913" s="4">
        <v>8</v>
      </c>
      <c r="F1913" s="4">
        <v>32755</v>
      </c>
      <c r="G1913" s="4">
        <v>262040</v>
      </c>
      <c r="H1913" s="4">
        <v>141934</v>
      </c>
      <c r="I1913" s="4"/>
      <c r="J1913" s="4"/>
      <c r="K1913" s="4"/>
      <c r="L1913" s="6">
        <f t="shared" si="29"/>
        <v>1.84621021037947</v>
      </c>
      <c r="M1913" s="4"/>
    </row>
    <row r="1914" spans="1:13">
      <c r="A1914" s="3">
        <v>45697</v>
      </c>
      <c r="B1914" s="4" t="s">
        <v>2</v>
      </c>
      <c r="C1914" s="4" t="s">
        <v>22</v>
      </c>
      <c r="D1914" s="4" t="s">
        <v>32</v>
      </c>
      <c r="E1914" s="4">
        <v>2</v>
      </c>
      <c r="F1914" s="4">
        <v>22076</v>
      </c>
      <c r="G1914" s="4">
        <v>44152</v>
      </c>
      <c r="H1914" s="4">
        <v>157960</v>
      </c>
      <c r="I1914" s="4"/>
      <c r="J1914" s="4"/>
      <c r="K1914" s="4"/>
      <c r="L1914" s="6">
        <f t="shared" si="29"/>
        <v>0.279513800962269</v>
      </c>
      <c r="M1914" s="4"/>
    </row>
    <row r="1915" spans="1:13">
      <c r="A1915" s="3">
        <v>45803</v>
      </c>
      <c r="B1915" s="4" t="s">
        <v>2</v>
      </c>
      <c r="C1915" s="4" t="s">
        <v>26</v>
      </c>
      <c r="D1915" s="4" t="s">
        <v>23</v>
      </c>
      <c r="E1915" s="4">
        <v>2</v>
      </c>
      <c r="F1915" s="4">
        <v>27373</v>
      </c>
      <c r="G1915" s="4">
        <v>54746</v>
      </c>
      <c r="H1915" s="4">
        <v>12605</v>
      </c>
      <c r="I1915" s="4"/>
      <c r="J1915" s="4"/>
      <c r="K1915" s="4"/>
      <c r="L1915" s="6">
        <f t="shared" si="29"/>
        <v>4.34319714399048</v>
      </c>
      <c r="M1915" s="4"/>
    </row>
    <row r="1916" spans="1:13">
      <c r="A1916" s="3">
        <v>45799</v>
      </c>
      <c r="B1916" s="4" t="s">
        <v>6</v>
      </c>
      <c r="C1916" s="4" t="s">
        <v>28</v>
      </c>
      <c r="D1916" s="4" t="s">
        <v>31</v>
      </c>
      <c r="E1916" s="4">
        <v>4</v>
      </c>
      <c r="F1916" s="4">
        <v>42452</v>
      </c>
      <c r="G1916" s="4">
        <v>169808</v>
      </c>
      <c r="H1916" s="4">
        <v>165566</v>
      </c>
      <c r="I1916" s="4"/>
      <c r="J1916" s="4"/>
      <c r="K1916" s="4"/>
      <c r="L1916" s="6">
        <f t="shared" si="29"/>
        <v>1.02562120242079</v>
      </c>
      <c r="M1916" s="4"/>
    </row>
    <row r="1917" spans="1:13">
      <c r="A1917" s="3">
        <v>45760</v>
      </c>
      <c r="B1917" s="4" t="s">
        <v>2</v>
      </c>
      <c r="C1917" s="4" t="s">
        <v>26</v>
      </c>
      <c r="D1917" s="4" t="s">
        <v>29</v>
      </c>
      <c r="E1917" s="4">
        <v>5</v>
      </c>
      <c r="F1917" s="4">
        <v>13492</v>
      </c>
      <c r="G1917" s="4">
        <v>67460</v>
      </c>
      <c r="H1917" s="4">
        <v>172999</v>
      </c>
      <c r="I1917" s="4"/>
      <c r="J1917" s="4"/>
      <c r="K1917" s="4"/>
      <c r="L1917" s="6">
        <f t="shared" si="29"/>
        <v>0.389944450545957</v>
      </c>
      <c r="M1917" s="4"/>
    </row>
    <row r="1918" spans="1:13">
      <c r="A1918" s="3">
        <v>45779</v>
      </c>
      <c r="B1918" s="4" t="s">
        <v>7</v>
      </c>
      <c r="C1918" s="4" t="s">
        <v>22</v>
      </c>
      <c r="D1918" s="4" t="s">
        <v>23</v>
      </c>
      <c r="E1918" s="4">
        <v>9</v>
      </c>
      <c r="F1918" s="4">
        <v>4381</v>
      </c>
      <c r="G1918" s="4">
        <v>39429</v>
      </c>
      <c r="H1918" s="4">
        <v>158294</v>
      </c>
      <c r="I1918" s="4"/>
      <c r="J1918" s="4"/>
      <c r="K1918" s="4"/>
      <c r="L1918" s="6">
        <f t="shared" si="29"/>
        <v>0.24908714164782</v>
      </c>
      <c r="M1918" s="4"/>
    </row>
    <row r="1919" spans="1:13">
      <c r="A1919" s="3">
        <v>45664</v>
      </c>
      <c r="B1919" s="4" t="s">
        <v>6</v>
      </c>
      <c r="C1919" s="4" t="s">
        <v>22</v>
      </c>
      <c r="D1919" s="4" t="s">
        <v>33</v>
      </c>
      <c r="E1919" s="4">
        <v>6</v>
      </c>
      <c r="F1919" s="4">
        <v>30874</v>
      </c>
      <c r="G1919" s="4">
        <v>185244</v>
      </c>
      <c r="H1919" s="4">
        <v>179427</v>
      </c>
      <c r="I1919" s="4"/>
      <c r="J1919" s="4"/>
      <c r="K1919" s="4"/>
      <c r="L1919" s="6">
        <f t="shared" si="29"/>
        <v>1.03241986991924</v>
      </c>
      <c r="M1919" s="4"/>
    </row>
    <row r="1920" spans="1:13">
      <c r="A1920" s="3">
        <v>45788</v>
      </c>
      <c r="B1920" s="4" t="s">
        <v>3</v>
      </c>
      <c r="C1920" s="4" t="s">
        <v>24</v>
      </c>
      <c r="D1920" s="4" t="s">
        <v>25</v>
      </c>
      <c r="E1920" s="4">
        <v>10</v>
      </c>
      <c r="F1920" s="4">
        <v>17628</v>
      </c>
      <c r="G1920" s="4">
        <v>176280</v>
      </c>
      <c r="H1920" s="4">
        <v>156793</v>
      </c>
      <c r="I1920" s="4"/>
      <c r="J1920" s="4"/>
      <c r="K1920" s="4"/>
      <c r="L1920" s="6">
        <f t="shared" si="29"/>
        <v>1.12428488516707</v>
      </c>
      <c r="M1920" s="4"/>
    </row>
    <row r="1921" spans="1:13">
      <c r="A1921" s="3">
        <v>45660</v>
      </c>
      <c r="B1921" s="4" t="s">
        <v>5</v>
      </c>
      <c r="C1921" s="4" t="s">
        <v>28</v>
      </c>
      <c r="D1921" s="4" t="s">
        <v>27</v>
      </c>
      <c r="E1921" s="4">
        <v>5</v>
      </c>
      <c r="F1921" s="4">
        <v>7447</v>
      </c>
      <c r="G1921" s="4">
        <v>37235</v>
      </c>
      <c r="H1921" s="4">
        <v>10555</v>
      </c>
      <c r="I1921" s="4"/>
      <c r="J1921" s="4"/>
      <c r="K1921" s="4"/>
      <c r="L1921" s="6">
        <f t="shared" si="29"/>
        <v>3.52771198484131</v>
      </c>
      <c r="M1921" s="4"/>
    </row>
    <row r="1922" spans="1:13">
      <c r="A1922" s="3">
        <v>45789</v>
      </c>
      <c r="B1922" s="4" t="s">
        <v>8</v>
      </c>
      <c r="C1922" s="4" t="s">
        <v>22</v>
      </c>
      <c r="D1922" s="4" t="s">
        <v>23</v>
      </c>
      <c r="E1922" s="4">
        <v>5</v>
      </c>
      <c r="F1922" s="4">
        <v>9156</v>
      </c>
      <c r="G1922" s="4">
        <v>45780</v>
      </c>
      <c r="H1922" s="4">
        <v>6446</v>
      </c>
      <c r="I1922" s="4"/>
      <c r="J1922" s="4"/>
      <c r="K1922" s="4"/>
      <c r="L1922" s="6">
        <f t="shared" si="29"/>
        <v>7.10207880856345</v>
      </c>
      <c r="M1922" s="4"/>
    </row>
    <row r="1923" spans="1:13">
      <c r="A1923" s="3">
        <v>45674</v>
      </c>
      <c r="B1923" s="4" t="s">
        <v>3</v>
      </c>
      <c r="C1923" s="4" t="s">
        <v>22</v>
      </c>
      <c r="D1923" s="4" t="s">
        <v>30</v>
      </c>
      <c r="E1923" s="4">
        <v>1</v>
      </c>
      <c r="F1923" s="4">
        <v>4554</v>
      </c>
      <c r="G1923" s="4">
        <v>4554</v>
      </c>
      <c r="H1923" s="4">
        <v>146408</v>
      </c>
      <c r="I1923" s="4"/>
      <c r="J1923" s="4"/>
      <c r="K1923" s="4"/>
      <c r="L1923" s="6">
        <f t="shared" ref="L1923:L1986" si="30">G1923/H1923</f>
        <v>0.0311048576580515</v>
      </c>
      <c r="M1923" s="4"/>
    </row>
    <row r="1924" spans="1:13">
      <c r="A1924" s="3">
        <v>45738</v>
      </c>
      <c r="B1924" s="4" t="s">
        <v>8</v>
      </c>
      <c r="C1924" s="4" t="s">
        <v>24</v>
      </c>
      <c r="D1924" s="4" t="s">
        <v>23</v>
      </c>
      <c r="E1924" s="4">
        <v>5</v>
      </c>
      <c r="F1924" s="4">
        <v>42240</v>
      </c>
      <c r="G1924" s="4">
        <v>211200</v>
      </c>
      <c r="H1924" s="4">
        <v>131525</v>
      </c>
      <c r="I1924" s="4"/>
      <c r="J1924" s="4"/>
      <c r="K1924" s="4"/>
      <c r="L1924" s="6">
        <f t="shared" si="30"/>
        <v>1.60577836913134</v>
      </c>
      <c r="M1924" s="4"/>
    </row>
    <row r="1925" spans="1:13">
      <c r="A1925" s="3">
        <v>45717</v>
      </c>
      <c r="B1925" s="4" t="s">
        <v>5</v>
      </c>
      <c r="C1925" s="4" t="s">
        <v>28</v>
      </c>
      <c r="D1925" s="4" t="s">
        <v>27</v>
      </c>
      <c r="E1925" s="4">
        <v>6</v>
      </c>
      <c r="F1925" s="4">
        <v>2384</v>
      </c>
      <c r="G1925" s="4">
        <v>14304</v>
      </c>
      <c r="H1925" s="4">
        <v>184715</v>
      </c>
      <c r="I1925" s="4"/>
      <c r="J1925" s="4"/>
      <c r="K1925" s="4"/>
      <c r="L1925" s="6">
        <f t="shared" si="30"/>
        <v>0.0774382156294833</v>
      </c>
      <c r="M1925" s="4"/>
    </row>
    <row r="1926" spans="1:13">
      <c r="A1926" s="3">
        <v>45738</v>
      </c>
      <c r="B1926" s="4" t="s">
        <v>3</v>
      </c>
      <c r="C1926" s="4" t="s">
        <v>28</v>
      </c>
      <c r="D1926" s="4" t="s">
        <v>23</v>
      </c>
      <c r="E1926" s="4">
        <v>8</v>
      </c>
      <c r="F1926" s="4">
        <v>39351</v>
      </c>
      <c r="G1926" s="4">
        <v>314808</v>
      </c>
      <c r="H1926" s="4">
        <v>154611</v>
      </c>
      <c r="I1926" s="4"/>
      <c r="J1926" s="4"/>
      <c r="K1926" s="4"/>
      <c r="L1926" s="6">
        <f t="shared" si="30"/>
        <v>2.03612938277354</v>
      </c>
      <c r="M1926" s="4"/>
    </row>
    <row r="1927" spans="1:13">
      <c r="A1927" s="3">
        <v>45711</v>
      </c>
      <c r="B1927" s="4" t="s">
        <v>6</v>
      </c>
      <c r="C1927" s="4" t="s">
        <v>24</v>
      </c>
      <c r="D1927" s="4" t="s">
        <v>25</v>
      </c>
      <c r="E1927" s="4">
        <v>1</v>
      </c>
      <c r="F1927" s="4">
        <v>41536</v>
      </c>
      <c r="G1927" s="4">
        <v>41536</v>
      </c>
      <c r="H1927" s="4">
        <v>27661</v>
      </c>
      <c r="I1927" s="4"/>
      <c r="J1927" s="4"/>
      <c r="K1927" s="4"/>
      <c r="L1927" s="6">
        <f t="shared" si="30"/>
        <v>1.50160876324066</v>
      </c>
      <c r="M1927" s="4"/>
    </row>
    <row r="1928" spans="1:13">
      <c r="A1928" s="3">
        <v>45684</v>
      </c>
      <c r="B1928" s="4" t="s">
        <v>3</v>
      </c>
      <c r="C1928" s="4" t="s">
        <v>22</v>
      </c>
      <c r="D1928" s="4" t="s">
        <v>23</v>
      </c>
      <c r="E1928" s="4">
        <v>1</v>
      </c>
      <c r="F1928" s="4">
        <v>42199</v>
      </c>
      <c r="G1928" s="4">
        <v>42199</v>
      </c>
      <c r="H1928" s="4">
        <v>178360</v>
      </c>
      <c r="I1928" s="4"/>
      <c r="J1928" s="4"/>
      <c r="K1928" s="4"/>
      <c r="L1928" s="6">
        <f t="shared" si="30"/>
        <v>0.236594527921059</v>
      </c>
      <c r="M1928" s="4"/>
    </row>
    <row r="1929" spans="1:13">
      <c r="A1929" s="3">
        <v>45723</v>
      </c>
      <c r="B1929" s="4" t="s">
        <v>3</v>
      </c>
      <c r="C1929" s="4" t="s">
        <v>22</v>
      </c>
      <c r="D1929" s="4" t="s">
        <v>31</v>
      </c>
      <c r="E1929" s="4">
        <v>3</v>
      </c>
      <c r="F1929" s="4">
        <v>19769</v>
      </c>
      <c r="G1929" s="4">
        <v>59307</v>
      </c>
      <c r="H1929" s="4">
        <v>181512</v>
      </c>
      <c r="I1929" s="4"/>
      <c r="J1929" s="4"/>
      <c r="K1929" s="4"/>
      <c r="L1929" s="6">
        <f t="shared" si="30"/>
        <v>0.326738728017982</v>
      </c>
      <c r="M1929" s="4"/>
    </row>
    <row r="1930" spans="1:13">
      <c r="A1930" s="3">
        <v>45809</v>
      </c>
      <c r="B1930" s="4" t="s">
        <v>3</v>
      </c>
      <c r="C1930" s="4" t="s">
        <v>22</v>
      </c>
      <c r="D1930" s="4" t="s">
        <v>27</v>
      </c>
      <c r="E1930" s="4">
        <v>5</v>
      </c>
      <c r="F1930" s="4">
        <v>32101</v>
      </c>
      <c r="G1930" s="4">
        <v>160505</v>
      </c>
      <c r="H1930" s="4">
        <v>130188</v>
      </c>
      <c r="I1930" s="4"/>
      <c r="J1930" s="4"/>
      <c r="K1930" s="4"/>
      <c r="L1930" s="6">
        <f t="shared" si="30"/>
        <v>1.23287092512367</v>
      </c>
      <c r="M1930" s="4"/>
    </row>
    <row r="1931" spans="1:13">
      <c r="A1931" s="3">
        <v>45774</v>
      </c>
      <c r="B1931" s="4" t="s">
        <v>7</v>
      </c>
      <c r="C1931" s="4" t="s">
        <v>26</v>
      </c>
      <c r="D1931" s="4" t="s">
        <v>32</v>
      </c>
      <c r="E1931" s="4">
        <v>6</v>
      </c>
      <c r="F1931" s="4">
        <v>31746</v>
      </c>
      <c r="G1931" s="4">
        <v>190476</v>
      </c>
      <c r="H1931" s="4">
        <v>178037</v>
      </c>
      <c r="I1931" s="4"/>
      <c r="J1931" s="4"/>
      <c r="K1931" s="4"/>
      <c r="L1931" s="6">
        <f t="shared" si="30"/>
        <v>1.06986749945236</v>
      </c>
      <c r="M1931" s="4"/>
    </row>
    <row r="1932" spans="1:13">
      <c r="A1932" s="3">
        <v>45822</v>
      </c>
      <c r="B1932" s="4" t="s">
        <v>3</v>
      </c>
      <c r="C1932" s="4" t="s">
        <v>26</v>
      </c>
      <c r="D1932" s="4" t="s">
        <v>30</v>
      </c>
      <c r="E1932" s="4">
        <v>4</v>
      </c>
      <c r="F1932" s="4">
        <v>42407</v>
      </c>
      <c r="G1932" s="4">
        <v>169628</v>
      </c>
      <c r="H1932" s="4">
        <v>98484</v>
      </c>
      <c r="I1932" s="4"/>
      <c r="J1932" s="4"/>
      <c r="K1932" s="4"/>
      <c r="L1932" s="6">
        <f t="shared" si="30"/>
        <v>1.72239145444945</v>
      </c>
      <c r="M1932" s="4"/>
    </row>
    <row r="1933" spans="1:13">
      <c r="A1933" s="3">
        <v>45683</v>
      </c>
      <c r="B1933" s="4" t="s">
        <v>3</v>
      </c>
      <c r="C1933" s="4" t="s">
        <v>26</v>
      </c>
      <c r="D1933" s="4" t="s">
        <v>30</v>
      </c>
      <c r="E1933" s="4">
        <v>7</v>
      </c>
      <c r="F1933" s="4">
        <v>26165</v>
      </c>
      <c r="G1933" s="4">
        <v>183155</v>
      </c>
      <c r="H1933" s="4">
        <v>110690</v>
      </c>
      <c r="I1933" s="4"/>
      <c r="J1933" s="4"/>
      <c r="K1933" s="4"/>
      <c r="L1933" s="6">
        <f t="shared" si="30"/>
        <v>1.65466618484055</v>
      </c>
      <c r="M1933" s="4"/>
    </row>
    <row r="1934" spans="1:13">
      <c r="A1934" s="3">
        <v>45692</v>
      </c>
      <c r="B1934" s="4" t="s">
        <v>8</v>
      </c>
      <c r="C1934" s="4" t="s">
        <v>22</v>
      </c>
      <c r="D1934" s="4" t="s">
        <v>31</v>
      </c>
      <c r="E1934" s="4">
        <v>4</v>
      </c>
      <c r="F1934" s="4">
        <v>7417</v>
      </c>
      <c r="G1934" s="4">
        <v>29668</v>
      </c>
      <c r="H1934" s="4">
        <v>79522</v>
      </c>
      <c r="I1934" s="4"/>
      <c r="J1934" s="4"/>
      <c r="K1934" s="4"/>
      <c r="L1934" s="6">
        <f t="shared" si="30"/>
        <v>0.373079147908755</v>
      </c>
      <c r="M1934" s="4"/>
    </row>
    <row r="1935" spans="1:13">
      <c r="A1935" s="3">
        <v>45734</v>
      </c>
      <c r="B1935" s="4" t="s">
        <v>3</v>
      </c>
      <c r="C1935" s="4" t="s">
        <v>22</v>
      </c>
      <c r="D1935" s="4" t="s">
        <v>31</v>
      </c>
      <c r="E1935" s="4">
        <v>8</v>
      </c>
      <c r="F1935" s="4">
        <v>12875</v>
      </c>
      <c r="G1935" s="4">
        <v>103000</v>
      </c>
      <c r="H1935" s="4">
        <v>20342</v>
      </c>
      <c r="I1935" s="4"/>
      <c r="J1935" s="4"/>
      <c r="K1935" s="4"/>
      <c r="L1935" s="6">
        <f t="shared" si="30"/>
        <v>5.06341559335365</v>
      </c>
      <c r="M1935" s="4"/>
    </row>
    <row r="1936" spans="1:13">
      <c r="A1936" s="3">
        <v>45684</v>
      </c>
      <c r="B1936" s="4" t="s">
        <v>6</v>
      </c>
      <c r="C1936" s="4" t="s">
        <v>22</v>
      </c>
      <c r="D1936" s="4" t="s">
        <v>25</v>
      </c>
      <c r="E1936" s="4">
        <v>5</v>
      </c>
      <c r="F1936" s="4">
        <v>16053</v>
      </c>
      <c r="G1936" s="4">
        <v>80265</v>
      </c>
      <c r="H1936" s="4">
        <v>59523</v>
      </c>
      <c r="I1936" s="4"/>
      <c r="J1936" s="4"/>
      <c r="K1936" s="4"/>
      <c r="L1936" s="6">
        <f t="shared" si="30"/>
        <v>1.34847033919661</v>
      </c>
      <c r="M1936" s="4"/>
    </row>
    <row r="1937" spans="1:13">
      <c r="A1937" s="3">
        <v>45696</v>
      </c>
      <c r="B1937" s="4" t="s">
        <v>7</v>
      </c>
      <c r="C1937" s="4" t="s">
        <v>26</v>
      </c>
      <c r="D1937" s="4" t="s">
        <v>33</v>
      </c>
      <c r="E1937" s="4">
        <v>1</v>
      </c>
      <c r="F1937" s="4">
        <v>14789</v>
      </c>
      <c r="G1937" s="4">
        <v>14789</v>
      </c>
      <c r="H1937" s="4">
        <v>136077</v>
      </c>
      <c r="I1937" s="4"/>
      <c r="J1937" s="4"/>
      <c r="K1937" s="4"/>
      <c r="L1937" s="6">
        <f t="shared" si="30"/>
        <v>0.10868111436907</v>
      </c>
      <c r="M1937" s="4"/>
    </row>
    <row r="1938" spans="1:13">
      <c r="A1938" s="3">
        <v>45735</v>
      </c>
      <c r="B1938" s="4" t="s">
        <v>5</v>
      </c>
      <c r="C1938" s="4" t="s">
        <v>24</v>
      </c>
      <c r="D1938" s="4" t="s">
        <v>29</v>
      </c>
      <c r="E1938" s="4">
        <v>8</v>
      </c>
      <c r="F1938" s="4">
        <v>21063</v>
      </c>
      <c r="G1938" s="4">
        <v>168504</v>
      </c>
      <c r="H1938" s="4">
        <v>80274</v>
      </c>
      <c r="I1938" s="4"/>
      <c r="J1938" s="4"/>
      <c r="K1938" s="4"/>
      <c r="L1938" s="6">
        <f t="shared" si="30"/>
        <v>2.09911054637865</v>
      </c>
      <c r="M1938" s="4"/>
    </row>
    <row r="1939" spans="1:13">
      <c r="A1939" s="3">
        <v>45684</v>
      </c>
      <c r="B1939" s="4" t="s">
        <v>8</v>
      </c>
      <c r="C1939" s="4" t="s">
        <v>28</v>
      </c>
      <c r="D1939" s="4" t="s">
        <v>27</v>
      </c>
      <c r="E1939" s="4">
        <v>8</v>
      </c>
      <c r="F1939" s="4">
        <v>14014</v>
      </c>
      <c r="G1939" s="4">
        <v>112112</v>
      </c>
      <c r="H1939" s="4">
        <v>10794</v>
      </c>
      <c r="I1939" s="4"/>
      <c r="J1939" s="4"/>
      <c r="K1939" s="4"/>
      <c r="L1939" s="6">
        <f t="shared" si="30"/>
        <v>10.3865110246433</v>
      </c>
      <c r="M1939" s="4"/>
    </row>
    <row r="1940" spans="1:13">
      <c r="A1940" s="3">
        <v>45719</v>
      </c>
      <c r="B1940" s="4" t="s">
        <v>6</v>
      </c>
      <c r="C1940" s="4" t="s">
        <v>26</v>
      </c>
      <c r="D1940" s="4" t="s">
        <v>27</v>
      </c>
      <c r="E1940" s="4">
        <v>6</v>
      </c>
      <c r="F1940" s="4">
        <v>40652</v>
      </c>
      <c r="G1940" s="4">
        <v>243912</v>
      </c>
      <c r="H1940" s="4">
        <v>46050</v>
      </c>
      <c r="I1940" s="4"/>
      <c r="J1940" s="4"/>
      <c r="K1940" s="4"/>
      <c r="L1940" s="6">
        <f t="shared" si="30"/>
        <v>5.29667752442997</v>
      </c>
      <c r="M1940" s="4"/>
    </row>
    <row r="1941" spans="1:13">
      <c r="A1941" s="3">
        <v>45774</v>
      </c>
      <c r="B1941" s="4" t="s">
        <v>3</v>
      </c>
      <c r="C1941" s="4" t="s">
        <v>22</v>
      </c>
      <c r="D1941" s="4" t="s">
        <v>32</v>
      </c>
      <c r="E1941" s="4">
        <v>4</v>
      </c>
      <c r="F1941" s="4">
        <v>46794</v>
      </c>
      <c r="G1941" s="4">
        <v>187176</v>
      </c>
      <c r="H1941" s="4">
        <v>155702</v>
      </c>
      <c r="I1941" s="4"/>
      <c r="J1941" s="4"/>
      <c r="K1941" s="4"/>
      <c r="L1941" s="6">
        <f t="shared" si="30"/>
        <v>1.20214255436667</v>
      </c>
      <c r="M1941" s="4"/>
    </row>
    <row r="1942" spans="1:13">
      <c r="A1942" s="3">
        <v>45783</v>
      </c>
      <c r="B1942" s="4" t="s">
        <v>4</v>
      </c>
      <c r="C1942" s="4" t="s">
        <v>28</v>
      </c>
      <c r="D1942" s="4" t="s">
        <v>30</v>
      </c>
      <c r="E1942" s="4">
        <v>6</v>
      </c>
      <c r="F1942" s="4">
        <v>33110</v>
      </c>
      <c r="G1942" s="4">
        <v>198660</v>
      </c>
      <c r="H1942" s="4">
        <v>107812</v>
      </c>
      <c r="I1942" s="4"/>
      <c r="J1942" s="4"/>
      <c r="K1942" s="4"/>
      <c r="L1942" s="6">
        <f t="shared" si="30"/>
        <v>1.84265202389344</v>
      </c>
      <c r="M1942" s="4"/>
    </row>
    <row r="1943" spans="1:13">
      <c r="A1943" s="3">
        <v>45832</v>
      </c>
      <c r="B1943" s="4" t="s">
        <v>5</v>
      </c>
      <c r="C1943" s="4" t="s">
        <v>24</v>
      </c>
      <c r="D1943" s="4" t="s">
        <v>23</v>
      </c>
      <c r="E1943" s="4">
        <v>10</v>
      </c>
      <c r="F1943" s="4">
        <v>45063</v>
      </c>
      <c r="G1943" s="4">
        <v>450630</v>
      </c>
      <c r="H1943" s="4">
        <v>136413</v>
      </c>
      <c r="I1943" s="4"/>
      <c r="J1943" s="4"/>
      <c r="K1943" s="4"/>
      <c r="L1943" s="6">
        <f t="shared" si="30"/>
        <v>3.30342416045392</v>
      </c>
      <c r="M1943" s="4"/>
    </row>
    <row r="1944" spans="1:13">
      <c r="A1944" s="3">
        <v>45821</v>
      </c>
      <c r="B1944" s="4" t="s">
        <v>4</v>
      </c>
      <c r="C1944" s="4" t="s">
        <v>24</v>
      </c>
      <c r="D1944" s="4" t="s">
        <v>30</v>
      </c>
      <c r="E1944" s="4">
        <v>3</v>
      </c>
      <c r="F1944" s="4">
        <v>29499</v>
      </c>
      <c r="G1944" s="4">
        <v>88497</v>
      </c>
      <c r="H1944" s="4">
        <v>71807</v>
      </c>
      <c r="I1944" s="4"/>
      <c r="J1944" s="4"/>
      <c r="K1944" s="4"/>
      <c r="L1944" s="6">
        <f t="shared" si="30"/>
        <v>1.23242859331263</v>
      </c>
      <c r="M1944" s="4"/>
    </row>
    <row r="1945" spans="1:13">
      <c r="A1945" s="3">
        <v>45758</v>
      </c>
      <c r="B1945" s="4" t="s">
        <v>2</v>
      </c>
      <c r="C1945" s="4" t="s">
        <v>24</v>
      </c>
      <c r="D1945" s="4" t="s">
        <v>23</v>
      </c>
      <c r="E1945" s="4">
        <v>5</v>
      </c>
      <c r="F1945" s="4">
        <v>26165</v>
      </c>
      <c r="G1945" s="4">
        <v>130825</v>
      </c>
      <c r="H1945" s="4">
        <v>21862</v>
      </c>
      <c r="I1945" s="4"/>
      <c r="J1945" s="4"/>
      <c r="K1945" s="4"/>
      <c r="L1945" s="6">
        <f t="shared" si="30"/>
        <v>5.98412771018205</v>
      </c>
      <c r="M1945" s="4"/>
    </row>
    <row r="1946" spans="1:13">
      <c r="A1946" s="3">
        <v>45666</v>
      </c>
      <c r="B1946" s="4" t="s">
        <v>2</v>
      </c>
      <c r="C1946" s="4" t="s">
        <v>22</v>
      </c>
      <c r="D1946" s="4" t="s">
        <v>30</v>
      </c>
      <c r="E1946" s="4">
        <v>1</v>
      </c>
      <c r="F1946" s="4">
        <v>27913</v>
      </c>
      <c r="G1946" s="4">
        <v>27913</v>
      </c>
      <c r="H1946" s="4">
        <v>112060</v>
      </c>
      <c r="I1946" s="4"/>
      <c r="J1946" s="4"/>
      <c r="K1946" s="4"/>
      <c r="L1946" s="6">
        <f t="shared" si="30"/>
        <v>0.249089773335713</v>
      </c>
      <c r="M1946" s="4"/>
    </row>
    <row r="1947" spans="1:13">
      <c r="A1947" s="3">
        <v>45784</v>
      </c>
      <c r="B1947" s="4" t="s">
        <v>4</v>
      </c>
      <c r="C1947" s="4" t="s">
        <v>22</v>
      </c>
      <c r="D1947" s="4" t="s">
        <v>30</v>
      </c>
      <c r="E1947" s="4">
        <v>8</v>
      </c>
      <c r="F1947" s="4">
        <v>20513</v>
      </c>
      <c r="G1947" s="4">
        <v>164104</v>
      </c>
      <c r="H1947" s="4">
        <v>119925</v>
      </c>
      <c r="I1947" s="4"/>
      <c r="J1947" s="4"/>
      <c r="K1947" s="4"/>
      <c r="L1947" s="6">
        <f t="shared" si="30"/>
        <v>1.36838857619345</v>
      </c>
      <c r="M1947" s="4"/>
    </row>
    <row r="1948" spans="1:13">
      <c r="A1948" s="3">
        <v>45814</v>
      </c>
      <c r="B1948" s="4" t="s">
        <v>3</v>
      </c>
      <c r="C1948" s="4" t="s">
        <v>26</v>
      </c>
      <c r="D1948" s="4" t="s">
        <v>33</v>
      </c>
      <c r="E1948" s="4">
        <v>5</v>
      </c>
      <c r="F1948" s="4">
        <v>27334</v>
      </c>
      <c r="G1948" s="4">
        <v>136670</v>
      </c>
      <c r="H1948" s="4">
        <v>190350</v>
      </c>
      <c r="I1948" s="4"/>
      <c r="J1948" s="4"/>
      <c r="K1948" s="4"/>
      <c r="L1948" s="6">
        <f t="shared" si="30"/>
        <v>0.71799317047544</v>
      </c>
      <c r="M1948" s="4"/>
    </row>
    <row r="1949" spans="1:13">
      <c r="A1949" s="3">
        <v>45816</v>
      </c>
      <c r="B1949" s="4" t="s">
        <v>4</v>
      </c>
      <c r="C1949" s="4" t="s">
        <v>22</v>
      </c>
      <c r="D1949" s="4" t="s">
        <v>29</v>
      </c>
      <c r="E1949" s="4">
        <v>4</v>
      </c>
      <c r="F1949" s="4">
        <v>17914</v>
      </c>
      <c r="G1949" s="4">
        <v>71656</v>
      </c>
      <c r="H1949" s="4">
        <v>101965</v>
      </c>
      <c r="I1949" s="4"/>
      <c r="J1949" s="4"/>
      <c r="K1949" s="4"/>
      <c r="L1949" s="6">
        <f t="shared" si="30"/>
        <v>0.702750943951356</v>
      </c>
      <c r="M1949" s="4"/>
    </row>
    <row r="1950" spans="1:13">
      <c r="A1950" s="3">
        <v>45758</v>
      </c>
      <c r="B1950" s="4" t="s">
        <v>3</v>
      </c>
      <c r="C1950" s="4" t="s">
        <v>26</v>
      </c>
      <c r="D1950" s="4" t="s">
        <v>27</v>
      </c>
      <c r="E1950" s="4">
        <v>2</v>
      </c>
      <c r="F1950" s="4">
        <v>28570</v>
      </c>
      <c r="G1950" s="4">
        <v>57140</v>
      </c>
      <c r="H1950" s="4">
        <v>110774</v>
      </c>
      <c r="I1950" s="4"/>
      <c r="J1950" s="4"/>
      <c r="K1950" s="4"/>
      <c r="L1950" s="6">
        <f t="shared" si="30"/>
        <v>0.515825013089714</v>
      </c>
      <c r="M1950" s="4"/>
    </row>
    <row r="1951" spans="1:13">
      <c r="A1951" s="3">
        <v>45812</v>
      </c>
      <c r="B1951" s="4" t="s">
        <v>4</v>
      </c>
      <c r="C1951" s="4" t="s">
        <v>26</v>
      </c>
      <c r="D1951" s="4" t="s">
        <v>29</v>
      </c>
      <c r="E1951" s="4">
        <v>2</v>
      </c>
      <c r="F1951" s="4">
        <v>29143</v>
      </c>
      <c r="G1951" s="4">
        <v>58286</v>
      </c>
      <c r="H1951" s="4">
        <v>141856</v>
      </c>
      <c r="I1951" s="4"/>
      <c r="J1951" s="4"/>
      <c r="K1951" s="4"/>
      <c r="L1951" s="6">
        <f t="shared" si="30"/>
        <v>0.410881457252425</v>
      </c>
      <c r="M1951" s="4"/>
    </row>
    <row r="1952" spans="1:13">
      <c r="A1952" s="3">
        <v>45780</v>
      </c>
      <c r="B1952" s="4" t="s">
        <v>6</v>
      </c>
      <c r="C1952" s="4" t="s">
        <v>28</v>
      </c>
      <c r="D1952" s="4" t="s">
        <v>25</v>
      </c>
      <c r="E1952" s="4">
        <v>1</v>
      </c>
      <c r="F1952" s="4">
        <v>37146</v>
      </c>
      <c r="G1952" s="4">
        <v>37146</v>
      </c>
      <c r="H1952" s="4">
        <v>98980</v>
      </c>
      <c r="I1952" s="4"/>
      <c r="J1952" s="4"/>
      <c r="K1952" s="4"/>
      <c r="L1952" s="6">
        <f t="shared" si="30"/>
        <v>0.375287936956961</v>
      </c>
      <c r="M1952" s="4"/>
    </row>
    <row r="1953" spans="1:13">
      <c r="A1953" s="3">
        <v>45724</v>
      </c>
      <c r="B1953" s="4" t="s">
        <v>6</v>
      </c>
      <c r="C1953" s="4" t="s">
        <v>28</v>
      </c>
      <c r="D1953" s="4" t="s">
        <v>25</v>
      </c>
      <c r="E1953" s="4">
        <v>10</v>
      </c>
      <c r="F1953" s="4">
        <v>4610</v>
      </c>
      <c r="G1953" s="4">
        <v>46100</v>
      </c>
      <c r="H1953" s="4">
        <v>94652</v>
      </c>
      <c r="I1953" s="4"/>
      <c r="J1953" s="4"/>
      <c r="K1953" s="4"/>
      <c r="L1953" s="6">
        <f t="shared" si="30"/>
        <v>0.487047289016608</v>
      </c>
      <c r="M1953" s="4"/>
    </row>
    <row r="1954" spans="1:13">
      <c r="A1954" s="3">
        <v>45826</v>
      </c>
      <c r="B1954" s="4" t="s">
        <v>3</v>
      </c>
      <c r="C1954" s="4" t="s">
        <v>26</v>
      </c>
      <c r="D1954" s="4" t="s">
        <v>25</v>
      </c>
      <c r="E1954" s="4">
        <v>7</v>
      </c>
      <c r="F1954" s="4">
        <v>46012</v>
      </c>
      <c r="G1954" s="4">
        <v>322084</v>
      </c>
      <c r="H1954" s="4">
        <v>183179</v>
      </c>
      <c r="I1954" s="4"/>
      <c r="J1954" s="4"/>
      <c r="K1954" s="4"/>
      <c r="L1954" s="6">
        <f t="shared" si="30"/>
        <v>1.75830198876509</v>
      </c>
      <c r="M1954" s="4"/>
    </row>
    <row r="1955" spans="1:13">
      <c r="A1955" s="3">
        <v>45696</v>
      </c>
      <c r="B1955" s="4" t="s">
        <v>4</v>
      </c>
      <c r="C1955" s="4" t="s">
        <v>26</v>
      </c>
      <c r="D1955" s="4" t="s">
        <v>30</v>
      </c>
      <c r="E1955" s="4">
        <v>10</v>
      </c>
      <c r="F1955" s="4">
        <v>35729</v>
      </c>
      <c r="G1955" s="4">
        <v>357290</v>
      </c>
      <c r="H1955" s="4">
        <v>150352</v>
      </c>
      <c r="I1955" s="4"/>
      <c r="J1955" s="4"/>
      <c r="K1955" s="4"/>
      <c r="L1955" s="6">
        <f t="shared" si="30"/>
        <v>2.37635681600511</v>
      </c>
      <c r="M1955" s="4"/>
    </row>
    <row r="1956" spans="1:13">
      <c r="A1956" s="3">
        <v>45676</v>
      </c>
      <c r="B1956" s="4" t="s">
        <v>2</v>
      </c>
      <c r="C1956" s="4" t="s">
        <v>28</v>
      </c>
      <c r="D1956" s="4" t="s">
        <v>27</v>
      </c>
      <c r="E1956" s="4">
        <v>1</v>
      </c>
      <c r="F1956" s="4">
        <v>38304</v>
      </c>
      <c r="G1956" s="4">
        <v>38304</v>
      </c>
      <c r="H1956" s="4">
        <v>22289</v>
      </c>
      <c r="I1956" s="4"/>
      <c r="J1956" s="4"/>
      <c r="K1956" s="4"/>
      <c r="L1956" s="6">
        <f t="shared" si="30"/>
        <v>1.71851585984118</v>
      </c>
      <c r="M1956" s="4"/>
    </row>
    <row r="1957" spans="1:13">
      <c r="A1957" s="3">
        <v>45762</v>
      </c>
      <c r="B1957" s="4" t="s">
        <v>2</v>
      </c>
      <c r="C1957" s="4" t="s">
        <v>26</v>
      </c>
      <c r="D1957" s="4" t="s">
        <v>31</v>
      </c>
      <c r="E1957" s="4">
        <v>5</v>
      </c>
      <c r="F1957" s="4">
        <v>25104</v>
      </c>
      <c r="G1957" s="4">
        <v>125520</v>
      </c>
      <c r="H1957" s="4">
        <v>118861</v>
      </c>
      <c r="I1957" s="4"/>
      <c r="J1957" s="4"/>
      <c r="K1957" s="4"/>
      <c r="L1957" s="6">
        <f t="shared" si="30"/>
        <v>1.05602342231682</v>
      </c>
      <c r="M1957" s="4"/>
    </row>
    <row r="1958" spans="1:13">
      <c r="A1958" s="3">
        <v>45735</v>
      </c>
      <c r="B1958" s="4" t="s">
        <v>3</v>
      </c>
      <c r="C1958" s="4" t="s">
        <v>22</v>
      </c>
      <c r="D1958" s="4" t="s">
        <v>30</v>
      </c>
      <c r="E1958" s="4">
        <v>5</v>
      </c>
      <c r="F1958" s="4">
        <v>33626</v>
      </c>
      <c r="G1958" s="4">
        <v>168130</v>
      </c>
      <c r="H1958" s="4">
        <v>173182</v>
      </c>
      <c r="I1958" s="4"/>
      <c r="J1958" s="4"/>
      <c r="K1958" s="4"/>
      <c r="L1958" s="6">
        <f t="shared" si="30"/>
        <v>0.970828377083069</v>
      </c>
      <c r="M1958" s="4"/>
    </row>
    <row r="1959" spans="1:13">
      <c r="A1959" s="3">
        <v>45703</v>
      </c>
      <c r="B1959" s="4" t="s">
        <v>2</v>
      </c>
      <c r="C1959" s="4" t="s">
        <v>22</v>
      </c>
      <c r="D1959" s="4" t="s">
        <v>33</v>
      </c>
      <c r="E1959" s="4">
        <v>10</v>
      </c>
      <c r="F1959" s="4">
        <v>41928</v>
      </c>
      <c r="G1959" s="4">
        <v>419280</v>
      </c>
      <c r="H1959" s="4">
        <v>26582</v>
      </c>
      <c r="I1959" s="4"/>
      <c r="J1959" s="4"/>
      <c r="K1959" s="4"/>
      <c r="L1959" s="6">
        <f t="shared" si="30"/>
        <v>15.7730795274998</v>
      </c>
      <c r="M1959" s="4"/>
    </row>
    <row r="1960" spans="1:13">
      <c r="A1960" s="3">
        <v>45760</v>
      </c>
      <c r="B1960" s="4" t="s">
        <v>6</v>
      </c>
      <c r="C1960" s="4" t="s">
        <v>22</v>
      </c>
      <c r="D1960" s="4" t="s">
        <v>30</v>
      </c>
      <c r="E1960" s="4">
        <v>5</v>
      </c>
      <c r="F1960" s="4">
        <v>33379</v>
      </c>
      <c r="G1960" s="4">
        <v>166895</v>
      </c>
      <c r="H1960" s="4">
        <v>157966</v>
      </c>
      <c r="I1960" s="4"/>
      <c r="J1960" s="4"/>
      <c r="K1960" s="4"/>
      <c r="L1960" s="6">
        <f t="shared" si="30"/>
        <v>1.0565248217971</v>
      </c>
      <c r="M1960" s="4"/>
    </row>
    <row r="1961" spans="1:13">
      <c r="A1961" s="3">
        <v>45664</v>
      </c>
      <c r="B1961" s="4" t="s">
        <v>2</v>
      </c>
      <c r="C1961" s="4" t="s">
        <v>22</v>
      </c>
      <c r="D1961" s="4" t="s">
        <v>32</v>
      </c>
      <c r="E1961" s="4">
        <v>1</v>
      </c>
      <c r="F1961" s="4">
        <v>25359</v>
      </c>
      <c r="G1961" s="4">
        <v>25359</v>
      </c>
      <c r="H1961" s="4">
        <v>64898</v>
      </c>
      <c r="I1961" s="4"/>
      <c r="J1961" s="4"/>
      <c r="K1961" s="4"/>
      <c r="L1961" s="6">
        <f t="shared" si="30"/>
        <v>0.390751641036704</v>
      </c>
      <c r="M1961" s="4"/>
    </row>
    <row r="1962" spans="1:13">
      <c r="A1962" s="3">
        <v>45787</v>
      </c>
      <c r="B1962" s="4" t="s">
        <v>3</v>
      </c>
      <c r="C1962" s="4" t="s">
        <v>26</v>
      </c>
      <c r="D1962" s="4" t="s">
        <v>25</v>
      </c>
      <c r="E1962" s="4">
        <v>5</v>
      </c>
      <c r="F1962" s="4">
        <v>29431</v>
      </c>
      <c r="G1962" s="4">
        <v>147155</v>
      </c>
      <c r="H1962" s="4">
        <v>48392</v>
      </c>
      <c r="I1962" s="4"/>
      <c r="J1962" s="4"/>
      <c r="K1962" s="4"/>
      <c r="L1962" s="6">
        <f t="shared" si="30"/>
        <v>3.04089518928749</v>
      </c>
      <c r="M1962" s="4"/>
    </row>
    <row r="1963" spans="1:13">
      <c r="A1963" s="3">
        <v>45707</v>
      </c>
      <c r="B1963" s="4" t="s">
        <v>3</v>
      </c>
      <c r="C1963" s="4" t="s">
        <v>22</v>
      </c>
      <c r="D1963" s="4" t="s">
        <v>32</v>
      </c>
      <c r="E1963" s="4">
        <v>4</v>
      </c>
      <c r="F1963" s="4">
        <v>39847</v>
      </c>
      <c r="G1963" s="4">
        <v>159388</v>
      </c>
      <c r="H1963" s="4">
        <v>62543</v>
      </c>
      <c r="I1963" s="4"/>
      <c r="J1963" s="4"/>
      <c r="K1963" s="4"/>
      <c r="L1963" s="6">
        <f t="shared" si="30"/>
        <v>2.54845466319172</v>
      </c>
      <c r="M1963" s="4"/>
    </row>
    <row r="1964" spans="1:13">
      <c r="A1964" s="3">
        <v>45825</v>
      </c>
      <c r="B1964" s="4" t="s">
        <v>8</v>
      </c>
      <c r="C1964" s="4" t="s">
        <v>28</v>
      </c>
      <c r="D1964" s="4" t="s">
        <v>32</v>
      </c>
      <c r="E1964" s="4">
        <v>10</v>
      </c>
      <c r="F1964" s="4">
        <v>47108</v>
      </c>
      <c r="G1964" s="4">
        <v>471080</v>
      </c>
      <c r="H1964" s="4">
        <v>70765</v>
      </c>
      <c r="I1964" s="4"/>
      <c r="J1964" s="4"/>
      <c r="K1964" s="4"/>
      <c r="L1964" s="6">
        <f t="shared" si="30"/>
        <v>6.65696318801668</v>
      </c>
      <c r="M1964" s="4"/>
    </row>
    <row r="1965" spans="1:13">
      <c r="A1965" s="3">
        <v>45708</v>
      </c>
      <c r="B1965" s="4" t="s">
        <v>2</v>
      </c>
      <c r="C1965" s="4" t="s">
        <v>24</v>
      </c>
      <c r="D1965" s="4" t="s">
        <v>23</v>
      </c>
      <c r="E1965" s="4">
        <v>10</v>
      </c>
      <c r="F1965" s="4">
        <v>7510</v>
      </c>
      <c r="G1965" s="4">
        <v>75100</v>
      </c>
      <c r="H1965" s="4">
        <v>4236</v>
      </c>
      <c r="I1965" s="4"/>
      <c r="J1965" s="4"/>
      <c r="K1965" s="4"/>
      <c r="L1965" s="6">
        <f t="shared" si="30"/>
        <v>17.7289896128423</v>
      </c>
      <c r="M1965" s="4"/>
    </row>
    <row r="1966" spans="1:13">
      <c r="A1966" s="3">
        <v>45713</v>
      </c>
      <c r="B1966" s="4" t="s">
        <v>3</v>
      </c>
      <c r="C1966" s="4" t="s">
        <v>22</v>
      </c>
      <c r="D1966" s="4" t="s">
        <v>23</v>
      </c>
      <c r="E1966" s="4">
        <v>3</v>
      </c>
      <c r="F1966" s="4">
        <v>17364</v>
      </c>
      <c r="G1966" s="4">
        <v>52092</v>
      </c>
      <c r="H1966" s="4">
        <v>156555</v>
      </c>
      <c r="I1966" s="4"/>
      <c r="J1966" s="4"/>
      <c r="K1966" s="4"/>
      <c r="L1966" s="6">
        <f t="shared" si="30"/>
        <v>0.332739292900259</v>
      </c>
      <c r="M1966" s="4"/>
    </row>
    <row r="1967" spans="1:13">
      <c r="A1967" s="3">
        <v>45743</v>
      </c>
      <c r="B1967" s="4" t="s">
        <v>4</v>
      </c>
      <c r="C1967" s="4" t="s">
        <v>22</v>
      </c>
      <c r="D1967" s="4" t="s">
        <v>23</v>
      </c>
      <c r="E1967" s="4">
        <v>8</v>
      </c>
      <c r="F1967" s="4">
        <v>15535</v>
      </c>
      <c r="G1967" s="4">
        <v>124280</v>
      </c>
      <c r="H1967" s="4">
        <v>171568</v>
      </c>
      <c r="I1967" s="4"/>
      <c r="J1967" s="4"/>
      <c r="K1967" s="4"/>
      <c r="L1967" s="6">
        <f t="shared" si="30"/>
        <v>0.72437750629488</v>
      </c>
      <c r="M1967" s="4"/>
    </row>
    <row r="1968" spans="1:13">
      <c r="A1968" s="3">
        <v>45738</v>
      </c>
      <c r="B1968" s="4" t="s">
        <v>8</v>
      </c>
      <c r="C1968" s="4" t="s">
        <v>28</v>
      </c>
      <c r="D1968" s="4" t="s">
        <v>30</v>
      </c>
      <c r="E1968" s="4">
        <v>3</v>
      </c>
      <c r="F1968" s="4">
        <v>33608</v>
      </c>
      <c r="G1968" s="4">
        <v>100824</v>
      </c>
      <c r="H1968" s="4">
        <v>3898</v>
      </c>
      <c r="I1968" s="4"/>
      <c r="J1968" s="4"/>
      <c r="K1968" s="4"/>
      <c r="L1968" s="6">
        <f t="shared" si="30"/>
        <v>25.8655720882504</v>
      </c>
      <c r="M1968" s="4"/>
    </row>
    <row r="1969" spans="1:13">
      <c r="A1969" s="3">
        <v>45665</v>
      </c>
      <c r="B1969" s="4" t="s">
        <v>5</v>
      </c>
      <c r="C1969" s="4" t="s">
        <v>22</v>
      </c>
      <c r="D1969" s="4" t="s">
        <v>30</v>
      </c>
      <c r="E1969" s="4">
        <v>8</v>
      </c>
      <c r="F1969" s="4">
        <v>24977</v>
      </c>
      <c r="G1969" s="4">
        <v>199816</v>
      </c>
      <c r="H1969" s="4">
        <v>143497</v>
      </c>
      <c r="I1969" s="4"/>
      <c r="J1969" s="4"/>
      <c r="K1969" s="4"/>
      <c r="L1969" s="6">
        <f t="shared" si="30"/>
        <v>1.39247510400914</v>
      </c>
      <c r="M1969" s="4"/>
    </row>
    <row r="1970" spans="1:13">
      <c r="A1970" s="3">
        <v>45718</v>
      </c>
      <c r="B1970" s="4" t="s">
        <v>3</v>
      </c>
      <c r="C1970" s="4" t="s">
        <v>26</v>
      </c>
      <c r="D1970" s="4" t="s">
        <v>27</v>
      </c>
      <c r="E1970" s="4">
        <v>2</v>
      </c>
      <c r="F1970" s="4">
        <v>18896</v>
      </c>
      <c r="G1970" s="4">
        <v>37792</v>
      </c>
      <c r="H1970" s="4">
        <v>138964</v>
      </c>
      <c r="I1970" s="4"/>
      <c r="J1970" s="4"/>
      <c r="K1970" s="4"/>
      <c r="L1970" s="6">
        <f t="shared" si="30"/>
        <v>0.271955326559397</v>
      </c>
      <c r="M1970" s="4"/>
    </row>
    <row r="1971" spans="1:13">
      <c r="A1971" s="3">
        <v>45800</v>
      </c>
      <c r="B1971" s="4" t="s">
        <v>8</v>
      </c>
      <c r="C1971" s="4" t="s">
        <v>22</v>
      </c>
      <c r="D1971" s="4" t="s">
        <v>27</v>
      </c>
      <c r="E1971" s="4">
        <v>4</v>
      </c>
      <c r="F1971" s="4">
        <v>36938</v>
      </c>
      <c r="G1971" s="4">
        <v>147752</v>
      </c>
      <c r="H1971" s="4">
        <v>13347</v>
      </c>
      <c r="I1971" s="4"/>
      <c r="J1971" s="4"/>
      <c r="K1971" s="4"/>
      <c r="L1971" s="6">
        <f t="shared" si="30"/>
        <v>11.0700531954746</v>
      </c>
      <c r="M1971" s="4"/>
    </row>
    <row r="1972" spans="1:13">
      <c r="A1972" s="3">
        <v>45756</v>
      </c>
      <c r="B1972" s="4" t="s">
        <v>4</v>
      </c>
      <c r="C1972" s="4" t="s">
        <v>28</v>
      </c>
      <c r="D1972" s="4" t="s">
        <v>29</v>
      </c>
      <c r="E1972" s="4">
        <v>2</v>
      </c>
      <c r="F1972" s="4">
        <v>28809</v>
      </c>
      <c r="G1972" s="4">
        <v>57618</v>
      </c>
      <c r="H1972" s="4">
        <v>148234</v>
      </c>
      <c r="I1972" s="4"/>
      <c r="J1972" s="4"/>
      <c r="K1972" s="4"/>
      <c r="L1972" s="6">
        <f t="shared" si="30"/>
        <v>0.388696250522822</v>
      </c>
      <c r="M1972" s="4"/>
    </row>
    <row r="1973" spans="1:13">
      <c r="A1973" s="3">
        <v>45765</v>
      </c>
      <c r="B1973" s="4" t="s">
        <v>5</v>
      </c>
      <c r="C1973" s="4" t="s">
        <v>22</v>
      </c>
      <c r="D1973" s="4" t="s">
        <v>32</v>
      </c>
      <c r="E1973" s="4">
        <v>7</v>
      </c>
      <c r="F1973" s="4">
        <v>1414</v>
      </c>
      <c r="G1973" s="4">
        <v>9898</v>
      </c>
      <c r="H1973" s="4">
        <v>97936</v>
      </c>
      <c r="I1973" s="4"/>
      <c r="J1973" s="4"/>
      <c r="K1973" s="4"/>
      <c r="L1973" s="6">
        <f t="shared" si="30"/>
        <v>0.101066002287208</v>
      </c>
      <c r="M1973" s="4"/>
    </row>
    <row r="1974" spans="1:13">
      <c r="A1974" s="3">
        <v>45749</v>
      </c>
      <c r="B1974" s="4" t="s">
        <v>5</v>
      </c>
      <c r="C1974" s="4" t="s">
        <v>24</v>
      </c>
      <c r="D1974" s="4" t="s">
        <v>32</v>
      </c>
      <c r="E1974" s="4">
        <v>8</v>
      </c>
      <c r="F1974" s="4">
        <v>48223</v>
      </c>
      <c r="G1974" s="4">
        <v>385784</v>
      </c>
      <c r="H1974" s="4">
        <v>196365</v>
      </c>
      <c r="I1974" s="4"/>
      <c r="J1974" s="4"/>
      <c r="K1974" s="4"/>
      <c r="L1974" s="6">
        <f t="shared" si="30"/>
        <v>1.96462709749701</v>
      </c>
      <c r="M1974" s="4"/>
    </row>
    <row r="1975" spans="1:13">
      <c r="A1975" s="3">
        <v>45682</v>
      </c>
      <c r="B1975" s="4" t="s">
        <v>7</v>
      </c>
      <c r="C1975" s="4" t="s">
        <v>22</v>
      </c>
      <c r="D1975" s="4" t="s">
        <v>32</v>
      </c>
      <c r="E1975" s="4">
        <v>5</v>
      </c>
      <c r="F1975" s="4">
        <v>40072</v>
      </c>
      <c r="G1975" s="4">
        <v>200360</v>
      </c>
      <c r="H1975" s="4">
        <v>100003</v>
      </c>
      <c r="I1975" s="4"/>
      <c r="J1975" s="4"/>
      <c r="K1975" s="4"/>
      <c r="L1975" s="6">
        <f t="shared" si="30"/>
        <v>2.00353989380319</v>
      </c>
      <c r="M1975" s="4"/>
    </row>
    <row r="1976" spans="1:13">
      <c r="A1976" s="3">
        <v>45784</v>
      </c>
      <c r="B1976" s="4" t="s">
        <v>5</v>
      </c>
      <c r="C1976" s="4" t="s">
        <v>24</v>
      </c>
      <c r="D1976" s="4" t="s">
        <v>29</v>
      </c>
      <c r="E1976" s="4">
        <v>6</v>
      </c>
      <c r="F1976" s="4">
        <v>3398</v>
      </c>
      <c r="G1976" s="4">
        <v>20388</v>
      </c>
      <c r="H1976" s="4">
        <v>199161</v>
      </c>
      <c r="I1976" s="4"/>
      <c r="J1976" s="4"/>
      <c r="K1976" s="4"/>
      <c r="L1976" s="6">
        <f t="shared" si="30"/>
        <v>0.102369439799961</v>
      </c>
      <c r="M1976" s="4"/>
    </row>
    <row r="1977" spans="1:13">
      <c r="A1977" s="3">
        <v>45760</v>
      </c>
      <c r="B1977" s="4" t="s">
        <v>3</v>
      </c>
      <c r="C1977" s="4" t="s">
        <v>26</v>
      </c>
      <c r="D1977" s="4" t="s">
        <v>25</v>
      </c>
      <c r="E1977" s="4">
        <v>5</v>
      </c>
      <c r="F1977" s="4">
        <v>7462</v>
      </c>
      <c r="G1977" s="4">
        <v>37310</v>
      </c>
      <c r="H1977" s="4">
        <v>113529</v>
      </c>
      <c r="I1977" s="4"/>
      <c r="J1977" s="4"/>
      <c r="K1977" s="4"/>
      <c r="L1977" s="6">
        <f t="shared" si="30"/>
        <v>0.328638497652582</v>
      </c>
      <c r="M1977" s="4"/>
    </row>
    <row r="1978" spans="1:13">
      <c r="A1978" s="3">
        <v>45722</v>
      </c>
      <c r="B1978" s="4" t="s">
        <v>3</v>
      </c>
      <c r="C1978" s="4" t="s">
        <v>28</v>
      </c>
      <c r="D1978" s="4" t="s">
        <v>30</v>
      </c>
      <c r="E1978" s="4">
        <v>6</v>
      </c>
      <c r="F1978" s="4">
        <v>31982</v>
      </c>
      <c r="G1978" s="4">
        <v>191892</v>
      </c>
      <c r="H1978" s="4">
        <v>167739</v>
      </c>
      <c r="I1978" s="4"/>
      <c r="J1978" s="4"/>
      <c r="K1978" s="4"/>
      <c r="L1978" s="6">
        <f t="shared" si="30"/>
        <v>1.14399155831381</v>
      </c>
      <c r="M1978" s="4"/>
    </row>
    <row r="1979" spans="1:13">
      <c r="A1979" s="3">
        <v>45808</v>
      </c>
      <c r="B1979" s="4" t="s">
        <v>7</v>
      </c>
      <c r="C1979" s="4" t="s">
        <v>28</v>
      </c>
      <c r="D1979" s="4" t="s">
        <v>29</v>
      </c>
      <c r="E1979" s="4">
        <v>7</v>
      </c>
      <c r="F1979" s="4">
        <v>49762</v>
      </c>
      <c r="G1979" s="4">
        <v>348334</v>
      </c>
      <c r="H1979" s="4">
        <v>141839</v>
      </c>
      <c r="I1979" s="4"/>
      <c r="J1979" s="4"/>
      <c r="K1979" s="4"/>
      <c r="L1979" s="6">
        <f t="shared" si="30"/>
        <v>2.45584077721924</v>
      </c>
      <c r="M1979" s="4"/>
    </row>
    <row r="1980" spans="1:13">
      <c r="A1980" s="3">
        <v>45683</v>
      </c>
      <c r="B1980" s="4" t="s">
        <v>3</v>
      </c>
      <c r="C1980" s="4" t="s">
        <v>28</v>
      </c>
      <c r="D1980" s="4" t="s">
        <v>29</v>
      </c>
      <c r="E1980" s="4">
        <v>3</v>
      </c>
      <c r="F1980" s="4">
        <v>10131</v>
      </c>
      <c r="G1980" s="4">
        <v>30393</v>
      </c>
      <c r="H1980" s="4">
        <v>179104</v>
      </c>
      <c r="I1980" s="4"/>
      <c r="J1980" s="4"/>
      <c r="K1980" s="4"/>
      <c r="L1980" s="6">
        <f t="shared" si="30"/>
        <v>0.169694702519207</v>
      </c>
      <c r="M1980" s="4"/>
    </row>
    <row r="1981" spans="1:13">
      <c r="A1981" s="3">
        <v>45783</v>
      </c>
      <c r="B1981" s="4" t="s">
        <v>5</v>
      </c>
      <c r="C1981" s="4" t="s">
        <v>24</v>
      </c>
      <c r="D1981" s="4" t="s">
        <v>32</v>
      </c>
      <c r="E1981" s="4">
        <v>4</v>
      </c>
      <c r="F1981" s="4">
        <v>13317</v>
      </c>
      <c r="G1981" s="4">
        <v>53268</v>
      </c>
      <c r="H1981" s="4">
        <v>178943</v>
      </c>
      <c r="I1981" s="4"/>
      <c r="J1981" s="4"/>
      <c r="K1981" s="4"/>
      <c r="L1981" s="6">
        <f t="shared" si="30"/>
        <v>0.297681384574976</v>
      </c>
      <c r="M1981" s="4"/>
    </row>
    <row r="1982" spans="1:13">
      <c r="A1982" s="3">
        <v>45741</v>
      </c>
      <c r="B1982" s="4" t="s">
        <v>5</v>
      </c>
      <c r="C1982" s="4" t="s">
        <v>22</v>
      </c>
      <c r="D1982" s="4" t="s">
        <v>33</v>
      </c>
      <c r="E1982" s="4">
        <v>6</v>
      </c>
      <c r="F1982" s="4">
        <v>35689</v>
      </c>
      <c r="G1982" s="4">
        <v>214134</v>
      </c>
      <c r="H1982" s="4">
        <v>51339</v>
      </c>
      <c r="I1982" s="4"/>
      <c r="J1982" s="4"/>
      <c r="K1982" s="4"/>
      <c r="L1982" s="6">
        <f t="shared" si="30"/>
        <v>4.17098112546018</v>
      </c>
      <c r="M1982" s="4"/>
    </row>
    <row r="1983" spans="1:13">
      <c r="A1983" s="3">
        <v>45719</v>
      </c>
      <c r="B1983" s="4" t="s">
        <v>6</v>
      </c>
      <c r="C1983" s="4" t="s">
        <v>28</v>
      </c>
      <c r="D1983" s="4" t="s">
        <v>29</v>
      </c>
      <c r="E1983" s="4">
        <v>5</v>
      </c>
      <c r="F1983" s="4">
        <v>12205</v>
      </c>
      <c r="G1983" s="4">
        <v>61025</v>
      </c>
      <c r="H1983" s="4">
        <v>169360</v>
      </c>
      <c r="I1983" s="4"/>
      <c r="J1983" s="4"/>
      <c r="K1983" s="4"/>
      <c r="L1983" s="6">
        <f t="shared" si="30"/>
        <v>0.36032711384034</v>
      </c>
      <c r="M1983" s="4"/>
    </row>
    <row r="1984" spans="1:13">
      <c r="A1984" s="3">
        <v>45717</v>
      </c>
      <c r="B1984" s="4" t="s">
        <v>5</v>
      </c>
      <c r="C1984" s="4" t="s">
        <v>22</v>
      </c>
      <c r="D1984" s="4" t="s">
        <v>32</v>
      </c>
      <c r="E1984" s="4">
        <v>3</v>
      </c>
      <c r="F1984" s="4">
        <v>44288</v>
      </c>
      <c r="G1984" s="4">
        <v>132864</v>
      </c>
      <c r="H1984" s="4">
        <v>12874</v>
      </c>
      <c r="I1984" s="4"/>
      <c r="J1984" s="4"/>
      <c r="K1984" s="4"/>
      <c r="L1984" s="6">
        <f t="shared" si="30"/>
        <v>10.3203355600435</v>
      </c>
      <c r="M1984" s="4"/>
    </row>
    <row r="1985" spans="1:13">
      <c r="A1985" s="3">
        <v>45822</v>
      </c>
      <c r="B1985" s="4" t="s">
        <v>5</v>
      </c>
      <c r="C1985" s="4" t="s">
        <v>26</v>
      </c>
      <c r="D1985" s="4" t="s">
        <v>25</v>
      </c>
      <c r="E1985" s="4">
        <v>3</v>
      </c>
      <c r="F1985" s="4">
        <v>4046</v>
      </c>
      <c r="G1985" s="4">
        <v>12138</v>
      </c>
      <c r="H1985" s="4">
        <v>100724</v>
      </c>
      <c r="I1985" s="4"/>
      <c r="J1985" s="4"/>
      <c r="K1985" s="4"/>
      <c r="L1985" s="6">
        <f t="shared" si="30"/>
        <v>0.120507525515269</v>
      </c>
      <c r="M1985" s="4"/>
    </row>
    <row r="1986" spans="1:13">
      <c r="A1986" s="3">
        <v>45749</v>
      </c>
      <c r="B1986" s="4" t="s">
        <v>4</v>
      </c>
      <c r="C1986" s="4" t="s">
        <v>28</v>
      </c>
      <c r="D1986" s="4" t="s">
        <v>29</v>
      </c>
      <c r="E1986" s="4">
        <v>8</v>
      </c>
      <c r="F1986" s="4">
        <v>28681</v>
      </c>
      <c r="G1986" s="4">
        <v>229448</v>
      </c>
      <c r="H1986" s="4">
        <v>3614</v>
      </c>
      <c r="I1986" s="4"/>
      <c r="J1986" s="4"/>
      <c r="K1986" s="4"/>
      <c r="L1986" s="6">
        <f t="shared" si="30"/>
        <v>63.4886552296624</v>
      </c>
      <c r="M1986" s="4"/>
    </row>
    <row r="1987" spans="1:13">
      <c r="A1987" s="3">
        <v>45694</v>
      </c>
      <c r="B1987" s="4" t="s">
        <v>3</v>
      </c>
      <c r="C1987" s="4" t="s">
        <v>28</v>
      </c>
      <c r="D1987" s="4" t="s">
        <v>31</v>
      </c>
      <c r="E1987" s="4">
        <v>8</v>
      </c>
      <c r="F1987" s="4">
        <v>26554</v>
      </c>
      <c r="G1987" s="4">
        <v>212432</v>
      </c>
      <c r="H1987" s="4">
        <v>51030</v>
      </c>
      <c r="I1987" s="4"/>
      <c r="J1987" s="4"/>
      <c r="K1987" s="4"/>
      <c r="L1987" s="6">
        <f>G1987/H1987</f>
        <v>4.16288457769939</v>
      </c>
      <c r="M1987" s="4"/>
    </row>
    <row r="1988" spans="1:13">
      <c r="A1988" s="3">
        <v>45736</v>
      </c>
      <c r="B1988" s="4" t="s">
        <v>2</v>
      </c>
      <c r="C1988" s="4" t="s">
        <v>26</v>
      </c>
      <c r="D1988" s="4" t="s">
        <v>31</v>
      </c>
      <c r="E1988" s="4">
        <v>2</v>
      </c>
      <c r="F1988" s="4">
        <v>40679</v>
      </c>
      <c r="G1988" s="4">
        <v>81358</v>
      </c>
      <c r="H1988" s="4">
        <v>86624</v>
      </c>
      <c r="I1988" s="4"/>
      <c r="J1988" s="4"/>
      <c r="K1988" s="4"/>
      <c r="L1988" s="6">
        <f>G1988/H1988</f>
        <v>0.939208533431843</v>
      </c>
      <c r="M1988" s="4"/>
    </row>
    <row r="1989" spans="1:13">
      <c r="A1989" s="3">
        <v>45769</v>
      </c>
      <c r="B1989" s="4" t="s">
        <v>4</v>
      </c>
      <c r="C1989" s="4" t="s">
        <v>28</v>
      </c>
      <c r="D1989" s="4" t="s">
        <v>31</v>
      </c>
      <c r="E1989" s="4">
        <v>8</v>
      </c>
      <c r="F1989" s="4">
        <v>32099</v>
      </c>
      <c r="G1989" s="4">
        <v>256792</v>
      </c>
      <c r="H1989" s="4">
        <v>101351</v>
      </c>
      <c r="I1989" s="4"/>
      <c r="J1989" s="4"/>
      <c r="K1989" s="4"/>
      <c r="L1989" s="6">
        <f>G1989/H1989</f>
        <v>2.53368985012481</v>
      </c>
      <c r="M1989" s="4"/>
    </row>
    <row r="1990" spans="1:13">
      <c r="A1990" s="3">
        <v>45734</v>
      </c>
      <c r="B1990" s="4" t="s">
        <v>4</v>
      </c>
      <c r="C1990" s="4" t="s">
        <v>22</v>
      </c>
      <c r="D1990" s="4" t="s">
        <v>27</v>
      </c>
      <c r="E1990" s="4">
        <v>7</v>
      </c>
      <c r="F1990" s="4">
        <v>26035</v>
      </c>
      <c r="G1990" s="4">
        <v>182245</v>
      </c>
      <c r="H1990" s="4">
        <v>39943</v>
      </c>
      <c r="I1990" s="4"/>
      <c r="J1990" s="4"/>
      <c r="K1990" s="4"/>
      <c r="L1990" s="6">
        <f>G1990/H1990</f>
        <v>4.56262674310893</v>
      </c>
      <c r="M1990" s="4"/>
    </row>
    <row r="1991" spans="1:13">
      <c r="A1991" s="3">
        <v>45795</v>
      </c>
      <c r="B1991" s="4" t="s">
        <v>7</v>
      </c>
      <c r="C1991" s="4" t="s">
        <v>28</v>
      </c>
      <c r="D1991" s="4" t="s">
        <v>23</v>
      </c>
      <c r="E1991" s="4">
        <v>1</v>
      </c>
      <c r="F1991" s="4">
        <v>19791</v>
      </c>
      <c r="G1991" s="4">
        <v>19791</v>
      </c>
      <c r="H1991" s="4">
        <v>25227</v>
      </c>
      <c r="I1991" s="4"/>
      <c r="J1991" s="4"/>
      <c r="K1991" s="4"/>
      <c r="L1991" s="6">
        <f>G1991/H1991</f>
        <v>0.784516589368534</v>
      </c>
      <c r="M1991" s="4"/>
    </row>
    <row r="1992" spans="1:13">
      <c r="A1992" s="3">
        <v>45767</v>
      </c>
      <c r="B1992" s="4" t="s">
        <v>5</v>
      </c>
      <c r="C1992" s="4" t="s">
        <v>24</v>
      </c>
      <c r="D1992" s="4" t="s">
        <v>32</v>
      </c>
      <c r="E1992" s="4">
        <v>1</v>
      </c>
      <c r="F1992" s="4">
        <v>10700</v>
      </c>
      <c r="G1992" s="4">
        <v>10700</v>
      </c>
      <c r="H1992" s="4">
        <v>42761</v>
      </c>
      <c r="I1992" s="4"/>
      <c r="J1992" s="4"/>
      <c r="K1992" s="4"/>
      <c r="L1992" s="6">
        <f>G1992/H1992</f>
        <v>0.250228011505811</v>
      </c>
      <c r="M1992" s="4"/>
    </row>
    <row r="1993" spans="1:13">
      <c r="A1993" s="3">
        <v>45823</v>
      </c>
      <c r="B1993" s="4" t="s">
        <v>5</v>
      </c>
      <c r="C1993" s="4" t="s">
        <v>26</v>
      </c>
      <c r="D1993" s="4" t="s">
        <v>32</v>
      </c>
      <c r="E1993" s="4">
        <v>7</v>
      </c>
      <c r="F1993" s="4">
        <v>46519</v>
      </c>
      <c r="G1993" s="4">
        <v>325633</v>
      </c>
      <c r="H1993" s="4">
        <v>118470</v>
      </c>
      <c r="I1993" s="4"/>
      <c r="J1993" s="4"/>
      <c r="K1993" s="4"/>
      <c r="L1993" s="6">
        <f>G1993/H1993</f>
        <v>2.74865366759517</v>
      </c>
      <c r="M1993" s="4"/>
    </row>
    <row r="1994" spans="1:13">
      <c r="A1994" s="3">
        <v>45838</v>
      </c>
      <c r="B1994" s="4" t="s">
        <v>7</v>
      </c>
      <c r="C1994" s="4" t="s">
        <v>22</v>
      </c>
      <c r="D1994" s="4" t="s">
        <v>27</v>
      </c>
      <c r="E1994" s="4">
        <v>6</v>
      </c>
      <c r="F1994" s="4">
        <v>48409</v>
      </c>
      <c r="G1994" s="4">
        <v>290454</v>
      </c>
      <c r="H1994" s="4">
        <v>92757</v>
      </c>
      <c r="I1994" s="4"/>
      <c r="J1994" s="4"/>
      <c r="K1994" s="4"/>
      <c r="L1994" s="6">
        <f>G1994/H1994</f>
        <v>3.1313431870371</v>
      </c>
      <c r="M1994" s="4"/>
    </row>
    <row r="1995" spans="1:13">
      <c r="A1995" s="3">
        <v>45754</v>
      </c>
      <c r="B1995" s="4" t="s">
        <v>4</v>
      </c>
      <c r="C1995" s="4" t="s">
        <v>26</v>
      </c>
      <c r="D1995" s="4" t="s">
        <v>30</v>
      </c>
      <c r="E1995" s="4">
        <v>1</v>
      </c>
      <c r="F1995" s="4">
        <v>46716</v>
      </c>
      <c r="G1995" s="4">
        <v>46716</v>
      </c>
      <c r="H1995" s="4">
        <v>86692</v>
      </c>
      <c r="I1995" s="4"/>
      <c r="J1995" s="4"/>
      <c r="K1995" s="4"/>
      <c r="L1995" s="6">
        <f>G1995/H1995</f>
        <v>0.538873252433904</v>
      </c>
      <c r="M1995" s="4"/>
    </row>
    <row r="1996" spans="1:13">
      <c r="A1996" s="3">
        <v>45781</v>
      </c>
      <c r="B1996" s="4" t="s">
        <v>2</v>
      </c>
      <c r="C1996" s="4" t="s">
        <v>24</v>
      </c>
      <c r="D1996" s="4" t="s">
        <v>32</v>
      </c>
      <c r="E1996" s="4">
        <v>7</v>
      </c>
      <c r="F1996" s="4">
        <v>36202</v>
      </c>
      <c r="G1996" s="4">
        <v>253414</v>
      </c>
      <c r="H1996" s="4">
        <v>88956</v>
      </c>
      <c r="I1996" s="4"/>
      <c r="J1996" s="4"/>
      <c r="K1996" s="4"/>
      <c r="L1996" s="6">
        <f>G1996/H1996</f>
        <v>2.84875668870003</v>
      </c>
      <c r="M1996" s="4"/>
    </row>
    <row r="1997" spans="1:13">
      <c r="A1997" s="3">
        <v>45684</v>
      </c>
      <c r="B1997" s="4" t="s">
        <v>3</v>
      </c>
      <c r="C1997" s="4" t="s">
        <v>28</v>
      </c>
      <c r="D1997" s="4" t="s">
        <v>29</v>
      </c>
      <c r="E1997" s="4">
        <v>3</v>
      </c>
      <c r="F1997" s="4">
        <v>10936</v>
      </c>
      <c r="G1997" s="4">
        <v>32808</v>
      </c>
      <c r="H1997" s="4">
        <v>104769</v>
      </c>
      <c r="I1997" s="4"/>
      <c r="J1997" s="4"/>
      <c r="K1997" s="4"/>
      <c r="L1997" s="6">
        <f>G1997/H1997</f>
        <v>0.313146064198379</v>
      </c>
      <c r="M1997" s="4"/>
    </row>
    <row r="1998" spans="1:13">
      <c r="A1998" s="3">
        <v>45793</v>
      </c>
      <c r="B1998" s="4" t="s">
        <v>3</v>
      </c>
      <c r="C1998" s="4" t="s">
        <v>24</v>
      </c>
      <c r="D1998" s="4" t="s">
        <v>27</v>
      </c>
      <c r="E1998" s="4">
        <v>1</v>
      </c>
      <c r="F1998" s="4">
        <v>32543</v>
      </c>
      <c r="G1998" s="4">
        <v>32543</v>
      </c>
      <c r="H1998" s="4">
        <v>199311</v>
      </c>
      <c r="I1998" s="4"/>
      <c r="J1998" s="4"/>
      <c r="K1998" s="4"/>
      <c r="L1998" s="6">
        <f>G1998/H1998</f>
        <v>0.163277490956345</v>
      </c>
      <c r="M1998" s="4"/>
    </row>
    <row r="1999" spans="1:13">
      <c r="A1999" s="3">
        <v>45688</v>
      </c>
      <c r="B1999" s="4" t="s">
        <v>6</v>
      </c>
      <c r="C1999" s="4" t="s">
        <v>28</v>
      </c>
      <c r="D1999" s="4" t="s">
        <v>31</v>
      </c>
      <c r="E1999" s="4">
        <v>9</v>
      </c>
      <c r="F1999" s="4">
        <v>16785</v>
      </c>
      <c r="G1999" s="4">
        <v>151065</v>
      </c>
      <c r="H1999" s="4">
        <v>106444</v>
      </c>
      <c r="I1999" s="4"/>
      <c r="J1999" s="4"/>
      <c r="K1999" s="4"/>
      <c r="L1999" s="6">
        <f>G1999/H1999</f>
        <v>1.41919694863027</v>
      </c>
      <c r="M1999" s="4"/>
    </row>
    <row r="2000" spans="1:13">
      <c r="A2000" s="3">
        <v>45681</v>
      </c>
      <c r="B2000" s="4" t="s">
        <v>3</v>
      </c>
      <c r="C2000" s="4" t="s">
        <v>26</v>
      </c>
      <c r="D2000" s="4" t="s">
        <v>30</v>
      </c>
      <c r="E2000" s="4">
        <v>10</v>
      </c>
      <c r="F2000" s="4">
        <v>13494</v>
      </c>
      <c r="G2000" s="4">
        <v>134940</v>
      </c>
      <c r="H2000" s="4">
        <v>33892</v>
      </c>
      <c r="I2000" s="4"/>
      <c r="J2000" s="4"/>
      <c r="K2000" s="4"/>
      <c r="L2000" s="6">
        <f>G2000/H2000</f>
        <v>3.98147055352296</v>
      </c>
      <c r="M2000" s="4"/>
    </row>
    <row r="2001" spans="1:13">
      <c r="A2001" s="3">
        <v>45803</v>
      </c>
      <c r="B2001" s="4" t="s">
        <v>4</v>
      </c>
      <c r="C2001" s="4" t="s">
        <v>24</v>
      </c>
      <c r="D2001" s="4" t="s">
        <v>30</v>
      </c>
      <c r="E2001" s="4">
        <v>10</v>
      </c>
      <c r="F2001" s="4">
        <v>39804</v>
      </c>
      <c r="G2001" s="4">
        <v>398040</v>
      </c>
      <c r="H2001" s="4">
        <v>156012</v>
      </c>
      <c r="I2001" s="4"/>
      <c r="J2001" s="4"/>
      <c r="K2001" s="4"/>
      <c r="L2001" s="6">
        <f>G2001/H2001</f>
        <v>2.55134220444581</v>
      </c>
      <c r="M2001" s="4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excel_day1_practice_dataset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Bhakt bt cs</cp:lastModifiedBy>
  <dcterms:created xsi:type="dcterms:W3CDTF">2026-03-09T05:16:19Z</dcterms:created>
  <dcterms:modified xsi:type="dcterms:W3CDTF">2026-03-09T07:30:45Z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938088A363464DD9B424A29801242011_13</vt:lpwstr>
  </property>
  <property fmtid="{D5CDD505-2E9C-101B-9397-08002B2CF9AE}" pid="3" name="KSOProductBuildVer">
    <vt:lpwstr>1033-12.2.0.23196</vt:lpwstr>
  </property>
</Properties>
</file>